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Табель" sheetId="1" state="visible" r:id="rId1"/>
    <sheet name="Расчет трудоемкости линии" sheetId="2" state="visible" r:id="rId2"/>
    <sheet name="Перевахта" sheetId="3" state="visible" r:id="rId3"/>
  </sheets>
  <calcPr calcOnSave="0"/>
</workbook>
</file>

<file path=xl/sharedStrings.xml><?xml version="1.0" encoding="utf-8"?>
<sst xmlns="http://schemas.openxmlformats.org/spreadsheetml/2006/main" count="145" uniqueCount="145">
  <si>
    <t>27.10.2025-10.11.25</t>
  </si>
  <si>
    <t xml:space="preserve">Объекты строительства</t>
  </si>
  <si>
    <t>ФИО</t>
  </si>
  <si>
    <t>Специальность</t>
  </si>
  <si>
    <t xml:space="preserve">Итого часов</t>
  </si>
  <si>
    <t xml:space="preserve">Премиальная надбавка</t>
  </si>
  <si>
    <t xml:space="preserve">Стаж коэф.</t>
  </si>
  <si>
    <t>Компенсации</t>
  </si>
  <si>
    <t xml:space="preserve">Бонус №1</t>
  </si>
  <si>
    <t xml:space="preserve">Бонус №2</t>
  </si>
  <si>
    <t>Бонус№3</t>
  </si>
  <si>
    <t xml:space="preserve">Бонус №4</t>
  </si>
  <si>
    <t>Премия</t>
  </si>
  <si>
    <t>Квартиры</t>
  </si>
  <si>
    <t xml:space="preserve">ЗП (почасовка) без учета компенсаций</t>
  </si>
  <si>
    <t xml:space="preserve">ЗП (почасовка + премии + стаж + опыт + квартиры)</t>
  </si>
  <si>
    <t xml:space="preserve">Дата приема</t>
  </si>
  <si>
    <t xml:space="preserve">Рассчет стажа</t>
  </si>
  <si>
    <t xml:space="preserve">ЗП за Опыт</t>
  </si>
  <si>
    <t xml:space="preserve">ЗП за Стаж</t>
  </si>
  <si>
    <t xml:space="preserve">За опыт!</t>
  </si>
  <si>
    <t xml:space="preserve">Количество объектов</t>
  </si>
  <si>
    <t xml:space="preserve">Текущий стаж.коэфф</t>
  </si>
  <si>
    <t xml:space="preserve">Агрокомплекс 'Содружество'</t>
  </si>
  <si>
    <t>Кинеф</t>
  </si>
  <si>
    <t xml:space="preserve">Афипский НПЗ</t>
  </si>
  <si>
    <t xml:space="preserve">Ильский НПЗ</t>
  </si>
  <si>
    <t xml:space="preserve">Башнефть НПЗ</t>
  </si>
  <si>
    <t>НК-НПЗ</t>
  </si>
  <si>
    <t xml:space="preserve">г.Старый Оскол</t>
  </si>
  <si>
    <t>г.Кириши</t>
  </si>
  <si>
    <t>пгт.Афипский</t>
  </si>
  <si>
    <t>пгт.Ильский</t>
  </si>
  <si>
    <t>г.Уфа</t>
  </si>
  <si>
    <t>г.Новокуйбышевск</t>
  </si>
  <si>
    <t xml:space="preserve">TG user ID</t>
  </si>
  <si>
    <t xml:space="preserve">Бригада 1</t>
  </si>
  <si>
    <t xml:space="preserve">Сиванов Е.В.</t>
  </si>
  <si>
    <t xml:space="preserve">Монтажник 2р</t>
  </si>
  <si>
    <t>вых</t>
  </si>
  <si>
    <t>10.04.23</t>
  </si>
  <si>
    <t xml:space="preserve">Бохан К.А.</t>
  </si>
  <si>
    <t xml:space="preserve">Монтажник 1р</t>
  </si>
  <si>
    <t>27.10.25</t>
  </si>
  <si>
    <t xml:space="preserve">Коньков Г.С.</t>
  </si>
  <si>
    <t xml:space="preserve">Мухтаров Р.Р.</t>
  </si>
  <si>
    <t xml:space="preserve">Никифоров К.М.</t>
  </si>
  <si>
    <t xml:space="preserve">Подольский А.В.</t>
  </si>
  <si>
    <t xml:space="preserve">Колодяжный И.Н. (бриг)</t>
  </si>
  <si>
    <t>Бригадир</t>
  </si>
  <si>
    <t xml:space="preserve">Бригада 2</t>
  </si>
  <si>
    <t xml:space="preserve">Зинеев И.Г. (бриг)</t>
  </si>
  <si>
    <t>25.03.22</t>
  </si>
  <si>
    <t xml:space="preserve">Белицкий А.В.</t>
  </si>
  <si>
    <t>Электрогазосварщик</t>
  </si>
  <si>
    <t>вахта</t>
  </si>
  <si>
    <t xml:space="preserve">Фатеев Е.Г.</t>
  </si>
  <si>
    <t>28.06.21</t>
  </si>
  <si>
    <t xml:space="preserve">Бригада 3</t>
  </si>
  <si>
    <t xml:space="preserve">Кукушкин В.В. (бриг)</t>
  </si>
  <si>
    <t>07.04.22</t>
  </si>
  <si>
    <t xml:space="preserve">Куцин М.И.</t>
  </si>
  <si>
    <t>24.01.22</t>
  </si>
  <si>
    <t xml:space="preserve">Толстокоров Д.В.</t>
  </si>
  <si>
    <t>02.06.25</t>
  </si>
  <si>
    <t xml:space="preserve">Манерко С.А.</t>
  </si>
  <si>
    <t xml:space="preserve">Бригада 4</t>
  </si>
  <si>
    <t xml:space="preserve">Пыженков В.В. (бриг)</t>
  </si>
  <si>
    <t>18.02.22</t>
  </si>
  <si>
    <t xml:space="preserve">Сигарев М.Ю.</t>
  </si>
  <si>
    <t>23.11.22</t>
  </si>
  <si>
    <t xml:space="preserve">Ильичев А.И.</t>
  </si>
  <si>
    <t>28.07.23</t>
  </si>
  <si>
    <t xml:space="preserve">Бригада 5</t>
  </si>
  <si>
    <t xml:space="preserve">Пилипенко Д.С.</t>
  </si>
  <si>
    <t xml:space="preserve">Мастер 1р</t>
  </si>
  <si>
    <t>08.09.23</t>
  </si>
  <si>
    <t xml:space="preserve">Кондратенков А.Л.</t>
  </si>
  <si>
    <t xml:space="preserve">Федоренко Д.В.</t>
  </si>
  <si>
    <t>07.10.24</t>
  </si>
  <si>
    <t xml:space="preserve">Глембоцкий В.Ю.</t>
  </si>
  <si>
    <t>19.05.25</t>
  </si>
  <si>
    <t xml:space="preserve">Полещук Н.Н.</t>
  </si>
  <si>
    <t xml:space="preserve">Кроль Ю.Ю.</t>
  </si>
  <si>
    <t>03.07.25</t>
  </si>
  <si>
    <t xml:space="preserve">Шестак Л.Э.</t>
  </si>
  <si>
    <t xml:space="preserve">Постерняк В.А.</t>
  </si>
  <si>
    <t>26.02.24</t>
  </si>
  <si>
    <t xml:space="preserve">Ильин Ю.И.</t>
  </si>
  <si>
    <t>11.07.25</t>
  </si>
  <si>
    <t xml:space="preserve">Ивенский А.В.</t>
  </si>
  <si>
    <t xml:space="preserve">Монтажник 3р</t>
  </si>
  <si>
    <t>08.05.24</t>
  </si>
  <si>
    <t xml:space="preserve">Бровкин Е.В.</t>
  </si>
  <si>
    <t>16.05.24</t>
  </si>
  <si>
    <t xml:space="preserve">Солянов Р.А.</t>
  </si>
  <si>
    <t>ИТР</t>
  </si>
  <si>
    <t xml:space="preserve">Шевченко К.В.</t>
  </si>
  <si>
    <t xml:space="preserve">Начальник участка</t>
  </si>
  <si>
    <t>04.10.21</t>
  </si>
  <si>
    <t xml:space="preserve">Величко А.С. </t>
  </si>
  <si>
    <t xml:space="preserve">Портнягин Д.А.</t>
  </si>
  <si>
    <t xml:space="preserve">Мастер 2р</t>
  </si>
  <si>
    <t>test</t>
  </si>
  <si>
    <t>Тестерович</t>
  </si>
  <si>
    <t xml:space="preserve">Итого с компенсациями:</t>
  </si>
  <si>
    <t xml:space="preserve">Количество бригад:</t>
  </si>
  <si>
    <t xml:space="preserve">стоимость одного дня:</t>
  </si>
  <si>
    <t xml:space="preserve">стоимость 26 дней</t>
  </si>
  <si>
    <t xml:space="preserve">с налогами:</t>
  </si>
  <si>
    <t xml:space="preserve">Количество дней:</t>
  </si>
  <si>
    <t>св</t>
  </si>
  <si>
    <t>монт</t>
  </si>
  <si>
    <t xml:space="preserve">расценка руководителя</t>
  </si>
  <si>
    <t xml:space="preserve">срок изготовления:</t>
  </si>
  <si>
    <t xml:space="preserve">с учетом аренды</t>
  </si>
  <si>
    <t xml:space="preserve">Шевченко К.В. (бриг)</t>
  </si>
  <si>
    <t>Монтажник</t>
  </si>
  <si>
    <t xml:space="preserve">с 14.07-28.07</t>
  </si>
  <si>
    <t xml:space="preserve">Никишин Р.П.</t>
  </si>
  <si>
    <t xml:space="preserve">Величко А.С.</t>
  </si>
  <si>
    <t xml:space="preserve">с 14.07-10.08</t>
  </si>
  <si>
    <t xml:space="preserve">Курбанов К.Р.</t>
  </si>
  <si>
    <t xml:space="preserve">Коробов А.В.</t>
  </si>
  <si>
    <t xml:space="preserve">Колодяжный И.Н.</t>
  </si>
  <si>
    <t xml:space="preserve">с 26.07-11.08</t>
  </si>
  <si>
    <t xml:space="preserve">Зугумов Х.М.</t>
  </si>
  <si>
    <t xml:space="preserve">Белицкий А.А.</t>
  </si>
  <si>
    <t xml:space="preserve">с 02.08-16.08</t>
  </si>
  <si>
    <t xml:space="preserve">только вернулся</t>
  </si>
  <si>
    <t xml:space="preserve">Моисеенко Д.В.</t>
  </si>
  <si>
    <t xml:space="preserve">с 12.07-16.07</t>
  </si>
  <si>
    <t xml:space="preserve">Пилипчук О.Ю.</t>
  </si>
  <si>
    <t xml:space="preserve">еще на вахте</t>
  </si>
  <si>
    <t xml:space="preserve">с 12.08-19.08</t>
  </si>
  <si>
    <t xml:space="preserve">с 11.07-26.07</t>
  </si>
  <si>
    <t xml:space="preserve">Якончук А.А.</t>
  </si>
  <si>
    <t xml:space="preserve">с 14.08-21.08</t>
  </si>
  <si>
    <t xml:space="preserve">Подтелков А.А.</t>
  </si>
  <si>
    <t xml:space="preserve">Новиков Д.А.</t>
  </si>
  <si>
    <t xml:space="preserve">Морозов М.</t>
  </si>
  <si>
    <t xml:space="preserve">Тырса С.</t>
  </si>
  <si>
    <t xml:space="preserve">Бутенко Р.А.</t>
  </si>
  <si>
    <t xml:space="preserve">с 09.07-20.07</t>
  </si>
  <si>
    <t xml:space="preserve">Амирханов А.А.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</si>
</sst>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_-* #,##0.00\ [$₽-19]_-;\-* #,##0.00\ [$₽-19]_-;_-* &quot;-&quot;??\ [$₽-19]_-;_-@_-"/>
  </numFmts>
  <fonts count="5">
    <font>
      <sz val="11.000000"/>
      <color theme="1"/>
      <name val="Calibri"/>
      <scheme val="minor"/>
    </font>
    <font>
      <sz val="10.000000"/>
      <name val="Calibri"/>
    </font>
    <font>
      <sz val="10.000000"/>
      <color theme="1"/>
      <name val="Calibri"/>
      <scheme val="minor"/>
    </font>
    <font>
      <sz val="11.000000"/>
      <name val="Calibri"/>
    </font>
    <font>
      <b/>
      <sz val="11.000000"/>
      <color theme="1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indexed="65"/>
        <bgColor indexed="65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ACB9CA"/>
        <bgColor rgb="FFACB9CA"/>
      </patternFill>
    </fill>
    <fill>
      <patternFill patternType="solid">
        <fgColor theme="9" tint="0"/>
        <bgColor theme="9" tint="0"/>
      </patternFill>
    </fill>
    <fill>
      <patternFill patternType="solid">
        <fgColor rgb="FFFFE699"/>
        <bgColor rgb="FFFFE699"/>
      </patternFill>
    </fill>
    <fill>
      <patternFill patternType="solid">
        <fgColor rgb="FF9BC2E6"/>
        <bgColor rgb="FF9BC2E6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2">
    <xf fontId="0" fillId="0" borderId="0" numFmtId="0" xfId="0"/>
    <xf fontId="0" fillId="2" borderId="0" numFmtId="0" xfId="0" applyFill="1"/>
    <xf fontId="0" fillId="0" borderId="0" numFmtId="0" xfId="0" applyAlignment="1">
      <alignment horizontal="center"/>
    </xf>
    <xf fontId="0" fillId="0" borderId="0" numFmtId="0" xfId="0"/>
    <xf fontId="0" fillId="0" borderId="0" numFmtId="49" xfId="0" applyNumberFormat="1"/>
    <xf fontId="0" fillId="0" borderId="0" numFmtId="160" xfId="0" applyNumberFormat="1"/>
    <xf fontId="0" fillId="3" borderId="0" numFmtId="0" xfId="0" applyFill="1"/>
    <xf fontId="0" fillId="0" borderId="0" numFmtId="0" xfId="0">
      <protection hidden="0" locked="1"/>
    </xf>
    <xf fontId="0" fillId="0" borderId="1" numFmtId="0" xfId="0" applyBorder="1">
      <protection hidden="0" locked="1"/>
    </xf>
    <xf fontId="0" fillId="4" borderId="0" numFmtId="0" xfId="0" applyFill="1" applyAlignment="1">
      <alignment horizontal="center"/>
    </xf>
    <xf fontId="0" fillId="5" borderId="0" numFmtId="160" xfId="0" applyNumberFormat="1" applyFill="1"/>
    <xf fontId="0" fillId="6" borderId="0" numFmtId="160" xfId="0" applyNumberFormat="1" applyFill="1"/>
    <xf fontId="0" fillId="7" borderId="0" numFmtId="0" xfId="0" applyFill="1"/>
    <xf fontId="0" fillId="8" borderId="0" numFmtId="0" xfId="0" applyFill="1"/>
    <xf fontId="0" fillId="9" borderId="0" numFmtId="0" xfId="0" applyFill="1"/>
    <xf fontId="0" fillId="4" borderId="0" numFmtId="49" xfId="0" applyNumberFormat="1" applyFill="1"/>
    <xf fontId="0" fillId="4" borderId="0" numFmtId="0" xfId="0" applyFill="1"/>
    <xf fontId="0" fillId="4" borderId="2" numFmtId="0" xfId="0" applyFill="1" applyBorder="1"/>
    <xf fontId="0" fillId="10" borderId="3" numFmtId="0" xfId="0" applyFill="1" applyBorder="1"/>
    <xf fontId="0" fillId="7" borderId="0" numFmtId="0" xfId="0" applyFill="1" applyAlignment="1">
      <alignment horizontal="center" wrapText="1"/>
    </xf>
    <xf fontId="0" fillId="7" borderId="0" numFmtId="0" xfId="0" applyFill="1" applyAlignment="1">
      <alignment horizontal="center"/>
    </xf>
    <xf fontId="0" fillId="0" borderId="0" numFmtId="160" xfId="0" applyNumberFormat="1" applyAlignment="1">
      <alignment horizontal="center"/>
    </xf>
    <xf fontId="0" fillId="0" borderId="0" numFmtId="2" xfId="0" applyNumberFormat="1" applyAlignment="1">
      <alignment horizontal="center"/>
    </xf>
    <xf fontId="0" fillId="0" borderId="2" numFmtId="0" xfId="0" applyBorder="1">
      <protection hidden="0" locked="1"/>
    </xf>
    <xf fontId="0" fillId="0" borderId="4" numFmtId="0" xfId="0" applyBorder="1"/>
    <xf fontId="0" fillId="11" borderId="0" numFmtId="0" xfId="0" applyFill="1" applyAlignment="1">
      <alignment horizontal="center"/>
    </xf>
    <xf fontId="0" fillId="12" borderId="0" numFmtId="0" xfId="0" applyFill="1"/>
    <xf fontId="0" fillId="8" borderId="0" numFmtId="0" xfId="0" applyFill="1" applyAlignment="1">
      <alignment horizontal="center"/>
    </xf>
    <xf fontId="1" fillId="13" borderId="5" numFmtId="0" xfId="0" applyFont="1" applyFill="1" applyBorder="1" applyAlignment="1">
      <alignment horizontal="center"/>
    </xf>
    <xf fontId="1" fillId="14" borderId="5" numFmtId="0" xfId="0" applyFont="1" applyFill="1" applyBorder="1" applyAlignment="1">
      <alignment horizontal="center"/>
    </xf>
    <xf fontId="1" fillId="0" borderId="5" numFmtId="0" xfId="0" applyFont="1" applyBorder="1" applyAlignment="1">
      <alignment horizontal="center"/>
    </xf>
    <xf fontId="1" fillId="13" borderId="6" numFmtId="0" xfId="0" applyFont="1" applyFill="1" applyBorder="1" applyAlignment="1">
      <alignment horizontal="center"/>
    </xf>
    <xf fontId="1" fillId="13" borderId="7" numFmtId="0" xfId="0" applyFont="1" applyFill="1" applyBorder="1" applyAlignment="1">
      <alignment horizontal="center"/>
    </xf>
    <xf fontId="1" fillId="15" borderId="7" numFmtId="0" xfId="0" applyFont="1" applyFill="1" applyBorder="1" applyAlignment="1">
      <alignment horizontal="center"/>
    </xf>
    <xf fontId="0" fillId="0" borderId="8" numFmtId="0" xfId="0" applyBorder="1"/>
    <xf fontId="0" fillId="0" borderId="5" numFmtId="0" xfId="0" applyBorder="1"/>
    <xf fontId="1" fillId="5" borderId="5" numFmtId="0" xfId="0" applyFont="1" applyFill="1" applyBorder="1" applyAlignment="1">
      <alignment horizontal="center"/>
    </xf>
    <xf fontId="2" fillId="0" borderId="5" numFmtId="0" xfId="0" applyFont="1" applyBorder="1" applyAlignment="1">
      <alignment horizontal="center"/>
    </xf>
    <xf fontId="0" fillId="0" borderId="5" numFmtId="0" xfId="0" applyBorder="1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9" borderId="0" numFmtId="161" xfId="0" applyNumberFormat="1" applyFill="1"/>
    <xf fontId="0" fillId="0" borderId="0" numFmtId="49" xfId="0" applyNumberForma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4" numFmtId="0" xfId="0" applyBorder="1" applyAlignment="1">
      <alignment horizontal="center"/>
    </xf>
    <xf fontId="0" fillId="0" borderId="4" numFmtId="0" xfId="0" applyBorder="1" applyAlignment="1">
      <alignment horizontal="center" vertical="center"/>
    </xf>
    <xf fontId="0" fillId="0" borderId="0" numFmtId="0" xfId="0" applyAlignment="1">
      <alignment horizontal="center"/>
      <protection hidden="0" locked="1"/>
    </xf>
    <xf fontId="2" fillId="0" borderId="0" numFmtId="0" xfId="0" applyFont="1" applyAlignment="1">
      <alignment horizontal="center"/>
    </xf>
    <xf fontId="1" fillId="5" borderId="0" numFmtId="0" xfId="0" applyFont="1" applyFill="1" applyAlignment="1">
      <alignment horizontal="center"/>
    </xf>
    <xf fontId="1" fillId="13" borderId="9" numFmtId="0" xfId="0" applyFont="1" applyFill="1" applyBorder="1" applyAlignment="1">
      <alignment horizontal="center"/>
    </xf>
    <xf fontId="1" fillId="13" borderId="10" numFmtId="0" xfId="0" applyFont="1" applyFill="1" applyBorder="1" applyAlignment="1">
      <alignment horizontal="center"/>
    </xf>
    <xf fontId="1" fillId="15" borderId="10" numFmtId="0" xfId="0" applyFont="1" applyFill="1" applyBorder="1" applyAlignment="1">
      <alignment horizontal="center"/>
    </xf>
    <xf fontId="1" fillId="0" borderId="7" numFmtId="0" xfId="0" applyFont="1" applyBorder="1" applyAlignment="1">
      <alignment horizontal="center"/>
    </xf>
    <xf fontId="1" fillId="14" borderId="7" numFmtId="0" xfId="0" applyFont="1" applyFill="1" applyBorder="1" applyAlignment="1">
      <alignment horizontal="center"/>
    </xf>
    <xf fontId="0" fillId="6" borderId="0" numFmtId="0" xfId="0" applyFill="1" applyAlignment="1">
      <alignment horizontal="center"/>
    </xf>
    <xf fontId="0" fillId="16" borderId="0" numFmtId="0" xfId="0" applyFill="1"/>
    <xf fontId="1" fillId="17" borderId="5" numFmtId="0" xfId="0" applyFont="1" applyFill="1" applyBorder="1" applyAlignment="1">
      <alignment horizontal="center" vertical="center"/>
    </xf>
    <xf fontId="2" fillId="16" borderId="5" numFmtId="0" xfId="0" applyFont="1" applyFill="1" applyBorder="1" applyAlignment="1">
      <alignment horizontal="center" vertical="center"/>
    </xf>
    <xf fontId="0" fillId="16" borderId="5" numFmtId="0" xfId="0" applyFill="1" applyBorder="1" applyAlignment="1">
      <alignment horizontal="center" vertical="center"/>
    </xf>
    <xf fontId="0" fillId="16" borderId="0" numFmtId="0" xfId="0" applyFill="1" applyAlignment="1">
      <alignment horizontal="center" vertical="center"/>
    </xf>
    <xf fontId="0" fillId="16" borderId="0" numFmtId="161" xfId="0" applyNumberFormat="1" applyFill="1"/>
    <xf fontId="0" fillId="16" borderId="2" numFmtId="0" xfId="0" applyFill="1" applyBorder="1" applyAlignment="1">
      <alignment horizontal="center" vertical="center"/>
    </xf>
    <xf fontId="0" fillId="16" borderId="4" numFmtId="0" xfId="0" applyFill="1" applyBorder="1" applyAlignment="1">
      <alignment horizontal="center" vertical="center"/>
    </xf>
    <xf fontId="1" fillId="18" borderId="5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1" fillId="18" borderId="0" numFmtId="0" xfId="0" applyFont="1" applyFill="1" applyAlignment="1">
      <alignment horizontal="center"/>
    </xf>
    <xf fontId="1" fillId="0" borderId="1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14" borderId="4" numFmtId="0" xfId="0" applyFont="1" applyFill="1" applyBorder="1" applyAlignment="1">
      <alignment horizontal="center"/>
    </xf>
    <xf fontId="1" fillId="14" borderId="0" numFmtId="0" xfId="0" applyFont="1" applyFill="1" applyAlignment="1">
      <alignment horizontal="center"/>
    </xf>
    <xf fontId="1" fillId="19" borderId="5" numFmtId="0" xfId="0" applyFont="1" applyFill="1" applyBorder="1" applyAlignment="1">
      <alignment horizontal="center" vertical="center"/>
    </xf>
    <xf fontId="2" fillId="7" borderId="5" numFmtId="0" xfId="0" applyFont="1" applyFill="1" applyBorder="1" applyAlignment="1">
      <alignment horizontal="center" vertical="center"/>
    </xf>
    <xf fontId="0" fillId="7" borderId="5" numFmtId="0" xfId="0" applyFill="1" applyBorder="1" applyAlignment="1">
      <alignment horizontal="center" vertical="center"/>
    </xf>
    <xf fontId="0" fillId="7" borderId="0" numFmtId="0" xfId="0" applyFill="1" applyAlignment="1">
      <alignment horizontal="center" vertical="center"/>
    </xf>
    <xf fontId="0" fillId="7" borderId="0" numFmtId="161" xfId="0" applyNumberFormat="1" applyFill="1"/>
    <xf fontId="0" fillId="7" borderId="2" numFmtId="0" xfId="0" applyFill="1" applyBorder="1"/>
    <xf fontId="0" fillId="7" borderId="4" numFmtId="0" xfId="0" applyFill="1" applyBorder="1" applyAlignment="1">
      <alignment horizontal="center" vertical="center"/>
    </xf>
    <xf fontId="1" fillId="13" borderId="4" numFmtId="0" xfId="0" applyFont="1" applyFill="1" applyBorder="1" applyAlignment="1">
      <alignment horizontal="center"/>
    </xf>
    <xf fontId="1" fillId="13" borderId="0" numFmtId="0" xfId="0" applyFont="1" applyFill="1" applyAlignment="1">
      <alignment horizontal="center"/>
    </xf>
    <xf fontId="1" fillId="18" borderId="4" numFmtId="0" xfId="0" applyFont="1" applyFill="1" applyBorder="1" applyAlignment="1">
      <alignment horizontal="center"/>
    </xf>
    <xf fontId="0" fillId="0" borderId="0" numFmtId="49" xfId="0" applyNumberFormat="1" applyAlignment="1">
      <alignment horizontal="center"/>
    </xf>
    <xf fontId="1" fillId="20" borderId="5" numFmtId="0" xfId="0" applyFont="1" applyFill="1" applyBorder="1" applyAlignment="1">
      <alignment horizontal="center" vertical="center"/>
    </xf>
    <xf fontId="1" fillId="20" borderId="5" numFmtId="0" xfId="0" applyFont="1" applyFill="1" applyBorder="1" applyAlignment="1">
      <alignment horizontal="left"/>
    </xf>
    <xf fontId="2" fillId="12" borderId="5" numFmtId="0" xfId="0" applyFont="1" applyFill="1" applyBorder="1" applyAlignment="1">
      <alignment horizontal="center" vertical="center"/>
    </xf>
    <xf fontId="0" fillId="12" borderId="5" numFmtId="0" xfId="0" applyFill="1" applyBorder="1" applyAlignment="1">
      <alignment horizontal="center" vertical="center"/>
    </xf>
    <xf fontId="0" fillId="12" borderId="0" numFmtId="0" xfId="0" applyFill="1" applyAlignment="1">
      <alignment horizontal="center" vertical="center"/>
    </xf>
    <xf fontId="0" fillId="12" borderId="0" numFmtId="161" xfId="0" applyNumberFormat="1" applyFill="1"/>
    <xf fontId="0" fillId="12" borderId="2" numFmtId="0" xfId="0" applyFill="1" applyBorder="1"/>
    <xf fontId="0" fillId="12" borderId="4" numFmtId="0" xfId="0" applyFill="1" applyBorder="1" applyAlignment="1">
      <alignment horizontal="center" vertical="center"/>
    </xf>
    <xf fontId="1" fillId="0" borderId="5" numFmtId="0" xfId="0" applyFont="1" applyBorder="1" applyAlignment="1">
      <alignment horizontal="left"/>
    </xf>
    <xf fontId="3" fillId="0" borderId="0" numFmtId="0" xfId="0" applyFont="1" applyAlignment="1">
      <alignment horizontal="left"/>
    </xf>
    <xf fontId="3" fillId="0" borderId="0" numFmtId="0" xfId="0" applyFont="1" applyAlignment="1">
      <alignment horizontal="left"/>
      <protection hidden="0" locked="1"/>
    </xf>
    <xf fontId="0" fillId="21" borderId="0" numFmtId="0" xfId="0" applyFill="1"/>
    <xf fontId="1" fillId="22" borderId="5" numFmtId="0" xfId="0" applyFont="1" applyFill="1" applyBorder="1" applyAlignment="1">
      <alignment horizontal="center"/>
    </xf>
    <xf fontId="2" fillId="21" borderId="5" numFmtId="0" xfId="0" applyFont="1" applyFill="1" applyBorder="1" applyAlignment="1">
      <alignment horizontal="center"/>
    </xf>
    <xf fontId="0" fillId="21" borderId="5" numFmtId="0" xfId="0" applyFill="1" applyBorder="1"/>
    <xf fontId="0" fillId="21" borderId="0" numFmtId="161" xfId="0" applyNumberFormat="1" applyFill="1"/>
    <xf fontId="0" fillId="21" borderId="2" numFmtId="0" xfId="0" applyFill="1" applyBorder="1"/>
    <xf fontId="0" fillId="21" borderId="4" numFmtId="0" xfId="0" applyFill="1" applyBorder="1" applyAlignment="1">
      <alignment horizontal="center"/>
    </xf>
    <xf fontId="0" fillId="0" borderId="1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0" numFmtId="14" xfId="0" applyNumberFormat="1"/>
    <xf fontId="0" fillId="0" borderId="0" numFmtId="2" xfId="0" applyNumberFormat="1"/>
    <xf fontId="4" fillId="0" borderId="5" numFmtId="0" xfId="0" applyFont="1" applyBorder="1" applyAlignment="1">
      <alignment horizontal="right"/>
    </xf>
    <xf fontId="4" fillId="0" borderId="5" numFmtId="161" xfId="0" applyNumberFormat="1" applyFont="1" applyBorder="1" applyAlignment="1">
      <alignment horizontal="center" vertical="center"/>
    </xf>
    <xf fontId="0" fillId="0" borderId="0" numFmtId="0" xfId="0" applyAlignment="1">
      <alignment vertical="center"/>
    </xf>
    <xf fontId="4" fillId="0" borderId="0" numFmtId="0" xfId="0" applyFont="1" applyAlignment="1">
      <alignment horizontal="center" vertical="center"/>
    </xf>
    <xf fontId="0" fillId="0" borderId="0" numFmtId="161" xfId="0" applyNumberFormat="1" applyAlignment="1">
      <alignment horizontal="center" vertical="center"/>
    </xf>
    <xf fontId="4" fillId="0" borderId="0" numFmtId="0" xfId="0" applyFont="1"/>
    <xf fontId="0" fillId="0" borderId="0" numFmtId="0" xfId="0" applyAlignment="1">
      <alignment wrapText="1"/>
    </xf>
    <xf fontId="0" fillId="0" borderId="0" numFmtId="1" xfId="0" applyNumberFormat="1"/>
    <xf fontId="0" fillId="3" borderId="0" numFmtId="17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70" workbookViewId="0">
      <pane xSplit="2" topLeftCell="C1" activePane="topRight" state="frozen"/>
      <selection activeCell="AH7" activeCellId="0" sqref="AH7"/>
    </sheetView>
  </sheetViews>
  <sheetFormatPr defaultRowHeight="14.25"/>
  <cols>
    <col bestFit="1" customWidth="1" min="1" max="1" style="1" width="12.140625"/>
    <col bestFit="1" customWidth="1" min="2" max="2" width="22.90234375"/>
    <col bestFit="1" customWidth="1" min="3" max="3" width="27.36328125"/>
    <col bestFit="1" customWidth="1" min="4" max="4" width="10.7265625"/>
    <col bestFit="1" customWidth="1" min="5" max="5" width="11.453125"/>
    <col bestFit="1" customWidth="1" min="6" max="7" width="10.7265625"/>
    <col bestFit="1" customWidth="1" min="8" max="12" width="10.54296875"/>
    <col bestFit="1" customWidth="1" min="13" max="14" width="11.453125"/>
    <col bestFit="1" customWidth="1" min="15" max="15" style="2" width="11.453125"/>
    <col bestFit="1" customWidth="1" min="16" max="17" width="10.7265625"/>
    <col bestFit="1" customWidth="1" min="18" max="18" width="11.26953125"/>
    <col customWidth="1" min="19" max="21" width="11.26953125"/>
    <col bestFit="1" customWidth="1" min="22" max="22" width="10.81640625"/>
    <col customWidth="1" min="23" max="23" width="12.453125"/>
    <col bestFit="1" customWidth="1" min="24" max="24" width="21.7265625"/>
    <col bestFit="1" customWidth="1" min="25" max="25" width="11.7265625"/>
    <col customWidth="1" min="26" max="26" width="13.54296875"/>
    <col bestFit="1" customWidth="1" min="27" max="29" width="11.7265625"/>
    <col customWidth="1" min="30" max="31" style="3" width="12.36328125"/>
    <col bestFit="1" customWidth="1" min="32" max="32" width="9.54296875"/>
    <col bestFit="1" customWidth="1" min="33" max="33" width="35.47265625"/>
    <col bestFit="1" customWidth="1" min="34" max="34" style="4" width="46.421875"/>
    <col bestFit="1" customWidth="1" min="35" max="35" width="12.33203125"/>
    <col bestFit="1" customWidth="1" min="36" max="36" width="13.09375"/>
    <col bestFit="1" customWidth="1" min="37" max="37" width="10.61328125"/>
    <col bestFit="1" customWidth="1" min="38" max="38" width="10.33203125"/>
    <col bestFit="1" customWidth="1" min="39" max="39" width="8.33203125"/>
    <col bestFit="1" customWidth="1" min="40" max="40" width="20.04296875"/>
    <col bestFit="1" customWidth="1" min="41" max="41" width="19.47265625"/>
    <col bestFit="1" customWidth="1" min="42" max="42" width="17"/>
    <col bestFit="1" min="43" max="43" width="9.28125"/>
    <col bestFit="1" min="44" max="44" width="13.6640625"/>
    <col bestFit="1" min="45" max="45" width="12.23046875"/>
    <col bestFit="1" min="46" max="46" width="13.8515625"/>
    <col bestFit="1" min="47" max="47" width="17.7109375"/>
  </cols>
  <sheetData>
    <row r="1">
      <c r="A1" s="5"/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2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F1" s="7"/>
      <c r="AG1" s="7"/>
      <c r="AH1" s="7"/>
      <c r="AI1" s="4"/>
      <c r="AJ1" s="7"/>
      <c r="AK1" s="7"/>
      <c r="AL1" s="7"/>
      <c r="AM1" s="8"/>
      <c r="AN1" s="8"/>
      <c r="AO1" s="8"/>
      <c r="AP1" s="9" t="s">
        <v>1</v>
      </c>
      <c r="AQ1" s="9"/>
      <c r="AR1" s="9"/>
      <c r="AS1" s="9"/>
      <c r="AT1" s="9"/>
      <c r="AU1" s="9"/>
    </row>
    <row r="2" ht="28.5">
      <c r="B2" s="7" t="s">
        <v>2</v>
      </c>
      <c r="C2" s="7" t="s">
        <v>3</v>
      </c>
      <c r="D2" s="5">
        <v>45957</v>
      </c>
      <c r="E2" s="5">
        <v>45958</v>
      </c>
      <c r="F2" s="5">
        <v>45959</v>
      </c>
      <c r="G2" s="5">
        <v>45960</v>
      </c>
      <c r="H2" s="5">
        <v>45961</v>
      </c>
      <c r="I2" s="5">
        <v>45962</v>
      </c>
      <c r="J2" s="5">
        <v>45963</v>
      </c>
      <c r="K2" s="5">
        <v>45964</v>
      </c>
      <c r="L2" s="5">
        <v>45965</v>
      </c>
      <c r="M2" s="5">
        <v>45966</v>
      </c>
      <c r="N2" s="5">
        <v>45967</v>
      </c>
      <c r="O2" s="5">
        <v>45968</v>
      </c>
      <c r="P2" s="5">
        <v>45969</v>
      </c>
      <c r="Q2" s="5">
        <v>45970</v>
      </c>
      <c r="R2" s="5">
        <v>45971</v>
      </c>
      <c r="S2" s="5"/>
      <c r="T2" s="5"/>
      <c r="U2" s="5"/>
      <c r="V2" s="5"/>
      <c r="W2" s="10" t="s">
        <v>4</v>
      </c>
      <c r="X2" s="5" t="s">
        <v>5</v>
      </c>
      <c r="Y2" s="5" t="s">
        <v>6</v>
      </c>
      <c r="Z2" s="11" t="s">
        <v>7</v>
      </c>
      <c r="AA2" s="12" t="s">
        <v>8</v>
      </c>
      <c r="AB2" s="6" t="s">
        <v>9</v>
      </c>
      <c r="AC2" s="12" t="s">
        <v>10</v>
      </c>
      <c r="AD2" s="1" t="s">
        <v>11</v>
      </c>
      <c r="AE2" s="13" t="s">
        <v>12</v>
      </c>
      <c r="AF2" s="6" t="s">
        <v>13</v>
      </c>
      <c r="AG2" s="7" t="s">
        <v>14</v>
      </c>
      <c r="AH2" s="14" t="s">
        <v>15</v>
      </c>
      <c r="AI2" s="15" t="s">
        <v>16</v>
      </c>
      <c r="AJ2" s="16" t="s">
        <v>17</v>
      </c>
      <c r="AK2" s="16" t="s">
        <v>18</v>
      </c>
      <c r="AL2" s="17" t="s">
        <v>19</v>
      </c>
      <c r="AM2" s="18" t="s">
        <v>20</v>
      </c>
      <c r="AN2" s="18" t="s">
        <v>21</v>
      </c>
      <c r="AO2" s="18" t="s">
        <v>22</v>
      </c>
      <c r="AP2" s="19" t="s">
        <v>23</v>
      </c>
      <c r="AQ2" s="20" t="s">
        <v>24</v>
      </c>
      <c r="AR2" s="20" t="s">
        <v>25</v>
      </c>
      <c r="AS2" s="20" t="s">
        <v>26</v>
      </c>
      <c r="AT2" s="20" t="s">
        <v>27</v>
      </c>
      <c r="AU2" s="20" t="s">
        <v>28</v>
      </c>
    </row>
    <row r="3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1"/>
      <c r="P3" s="5"/>
      <c r="Q3" s="5"/>
      <c r="R3" s="5"/>
      <c r="S3" s="5"/>
      <c r="T3" s="5"/>
      <c r="U3" s="5"/>
      <c r="V3" s="5"/>
      <c r="W3" s="10"/>
      <c r="X3" s="22">
        <v>1</v>
      </c>
      <c r="Y3" s="5"/>
      <c r="Z3" s="11"/>
      <c r="AA3" s="12"/>
      <c r="AB3" s="6"/>
      <c r="AC3" s="12"/>
      <c r="AD3" s="1"/>
      <c r="AE3" s="13"/>
      <c r="AF3" s="6"/>
      <c r="AG3" s="7"/>
      <c r="AH3" s="14"/>
      <c r="AI3" s="4"/>
      <c r="AJ3" s="5"/>
      <c r="AK3" s="5"/>
      <c r="AL3" s="23"/>
      <c r="AM3" s="24"/>
      <c r="AN3" s="24"/>
      <c r="AO3" s="24"/>
      <c r="AP3" s="25" t="s">
        <v>29</v>
      </c>
      <c r="AQ3" s="25" t="s">
        <v>30</v>
      </c>
      <c r="AR3" s="25" t="s">
        <v>31</v>
      </c>
      <c r="AS3" s="25" t="s">
        <v>32</v>
      </c>
      <c r="AT3" s="25" t="s">
        <v>33</v>
      </c>
      <c r="AU3" s="25" t="s">
        <v>34</v>
      </c>
    </row>
    <row r="4">
      <c r="A4" s="26" t="s">
        <v>35</v>
      </c>
      <c r="B4" s="13" t="s">
        <v>36</v>
      </c>
      <c r="C4" s="13"/>
      <c r="D4" s="13"/>
      <c r="E4" s="27"/>
      <c r="F4" s="27"/>
      <c r="G4" s="27"/>
      <c r="H4" s="27"/>
      <c r="I4" s="27"/>
      <c r="J4" s="27"/>
      <c r="K4" s="27"/>
      <c r="L4" s="27"/>
      <c r="M4" s="13"/>
      <c r="N4" s="13"/>
      <c r="O4" s="27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>
      <c r="A5" s="1">
        <v>6296880565</v>
      </c>
      <c r="B5" s="7" t="s">
        <v>37</v>
      </c>
      <c r="C5" s="7" t="s">
        <v>38</v>
      </c>
      <c r="D5" s="28">
        <v>10</v>
      </c>
      <c r="E5" s="28">
        <v>10</v>
      </c>
      <c r="F5" s="28">
        <v>10</v>
      </c>
      <c r="G5" s="28">
        <v>10</v>
      </c>
      <c r="H5" s="28">
        <v>10</v>
      </c>
      <c r="I5" s="29">
        <v>10</v>
      </c>
      <c r="J5" s="29">
        <v>10</v>
      </c>
      <c r="K5" s="30">
        <v>10</v>
      </c>
      <c r="L5" s="31">
        <v>10</v>
      </c>
      <c r="M5" s="32">
        <v>10</v>
      </c>
      <c r="N5" s="32">
        <v>10</v>
      </c>
      <c r="O5" s="32">
        <v>10</v>
      </c>
      <c r="P5" s="33">
        <v>10</v>
      </c>
      <c r="Q5" s="33" t="s">
        <v>39</v>
      </c>
      <c r="R5" s="32">
        <v>10</v>
      </c>
      <c r="S5" s="34"/>
      <c r="T5" s="34"/>
      <c r="U5" s="34"/>
      <c r="V5" s="35"/>
      <c r="W5" s="36">
        <f t="shared" ref="W5:W9" si="0">SUM(D5:V5)</f>
        <v>140</v>
      </c>
      <c r="X5" s="37">
        <f>W5*X3</f>
        <v>140</v>
      </c>
      <c r="Y5" s="38">
        <f t="shared" ref="Y5:Y9" si="1">AO5</f>
        <v>65</v>
      </c>
      <c r="Z5" s="39">
        <f>2317.77+2083.49</f>
        <v>4401.2600000000002</v>
      </c>
      <c r="AA5" s="12">
        <v>7500</v>
      </c>
      <c r="AB5" s="6">
        <v>7500</v>
      </c>
      <c r="AC5" s="12">
        <v>7500</v>
      </c>
      <c r="AD5" s="1"/>
      <c r="AE5" s="13">
        <f t="shared" ref="AE5:AE9" si="2">SUM(AA5:AD5)</f>
        <v>22500</v>
      </c>
      <c r="AF5" s="6"/>
      <c r="AG5" s="7">
        <f>X5*350</f>
        <v>49000</v>
      </c>
      <c r="AH5" s="40">
        <f t="shared" ref="AH5:AH9" si="3">AG5+AE5+AK5+AL5+AF5</f>
        <v>88825</v>
      </c>
      <c r="AI5" s="41" t="s">
        <v>40</v>
      </c>
      <c r="AJ5" s="22" t="e">
        <f t="shared" ref="AJ5:AJ9" ca="1" si="4">(TODAY()-AI5)/364</f>
        <v>#VALUE!</v>
      </c>
      <c r="AK5" s="42">
        <f t="shared" ref="AK5:AK9" si="5">AM5*SUM(AA5:AD5)/100</f>
        <v>2700</v>
      </c>
      <c r="AL5">
        <f t="shared" ref="AL5:AL9" si="6">AE5/100*AO5</f>
        <v>14625</v>
      </c>
      <c r="AM5" s="43">
        <f t="shared" ref="AM5:AM9" si="7">3*AN5</f>
        <v>12</v>
      </c>
      <c r="AN5" s="2">
        <f t="shared" ref="AN5:AN9" si="8">SUM(AP5:AU5)</f>
        <v>4</v>
      </c>
      <c r="AO5" s="44">
        <v>65</v>
      </c>
      <c r="AP5" s="2">
        <v>0</v>
      </c>
      <c r="AQ5" s="2">
        <v>1</v>
      </c>
      <c r="AR5" s="2">
        <v>0</v>
      </c>
      <c r="AS5" s="2">
        <v>1</v>
      </c>
      <c r="AT5" s="2">
        <v>1</v>
      </c>
      <c r="AU5" s="45">
        <v>1</v>
      </c>
    </row>
    <row r="6">
      <c r="A6" s="1">
        <v>2094474024</v>
      </c>
      <c r="B6" s="7" t="s">
        <v>41</v>
      </c>
      <c r="C6" s="7" t="s">
        <v>42</v>
      </c>
      <c r="D6" s="28">
        <v>10</v>
      </c>
      <c r="E6" s="28">
        <v>10</v>
      </c>
      <c r="F6" s="28">
        <v>10</v>
      </c>
      <c r="G6" s="28">
        <v>10</v>
      </c>
      <c r="H6" s="28">
        <v>10</v>
      </c>
      <c r="I6" s="29">
        <v>10</v>
      </c>
      <c r="J6" s="29" t="s">
        <v>39</v>
      </c>
      <c r="K6" s="30">
        <v>10</v>
      </c>
      <c r="L6" s="31">
        <v>10</v>
      </c>
      <c r="M6" s="32">
        <v>10</v>
      </c>
      <c r="N6" s="32">
        <v>10</v>
      </c>
      <c r="O6" s="32">
        <v>10</v>
      </c>
      <c r="P6" s="33">
        <v>10</v>
      </c>
      <c r="Q6" s="33" t="s">
        <v>39</v>
      </c>
      <c r="R6" s="32">
        <v>10</v>
      </c>
      <c r="S6" s="35"/>
      <c r="T6" s="35"/>
      <c r="U6" s="35"/>
      <c r="W6" s="36">
        <f t="shared" si="0"/>
        <v>130</v>
      </c>
      <c r="X6" s="46">
        <f>W6*X3</f>
        <v>130</v>
      </c>
      <c r="Y6" s="38">
        <f t="shared" si="1"/>
        <v>0</v>
      </c>
      <c r="Z6" s="39"/>
      <c r="AA6" s="12">
        <v>6000</v>
      </c>
      <c r="AB6" s="6">
        <v>6000</v>
      </c>
      <c r="AC6" s="12">
        <v>4500</v>
      </c>
      <c r="AD6" s="1"/>
      <c r="AE6" s="13">
        <f t="shared" si="2"/>
        <v>16500</v>
      </c>
      <c r="AF6" s="6"/>
      <c r="AG6" s="7">
        <f t="shared" ref="AG6:AG9" si="9">X6*320</f>
        <v>41600</v>
      </c>
      <c r="AH6" s="40">
        <f t="shared" si="3"/>
        <v>58100</v>
      </c>
      <c r="AI6" s="41" t="s">
        <v>43</v>
      </c>
      <c r="AJ6" s="22" t="e">
        <f t="shared" ca="1" si="4"/>
        <v>#VALUE!</v>
      </c>
      <c r="AK6" s="42">
        <f t="shared" si="5"/>
        <v>0</v>
      </c>
      <c r="AL6" s="7">
        <f t="shared" si="6"/>
        <v>0</v>
      </c>
      <c r="AM6" s="43">
        <f t="shared" si="7"/>
        <v>0</v>
      </c>
      <c r="AN6" s="2">
        <f t="shared" si="8"/>
        <v>0</v>
      </c>
      <c r="AO6" s="44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>
      <c r="A7" s="1">
        <v>1037845175</v>
      </c>
      <c r="B7" t="s">
        <v>44</v>
      </c>
      <c r="C7" s="7" t="s">
        <v>42</v>
      </c>
      <c r="D7" s="28">
        <v>10</v>
      </c>
      <c r="E7" s="28">
        <v>10</v>
      </c>
      <c r="F7" s="28">
        <v>10</v>
      </c>
      <c r="G7" s="28">
        <v>10</v>
      </c>
      <c r="H7" s="28">
        <v>10</v>
      </c>
      <c r="I7" s="29">
        <v>10</v>
      </c>
      <c r="J7" s="29" t="s">
        <v>39</v>
      </c>
      <c r="K7" s="30">
        <v>10</v>
      </c>
      <c r="L7" s="31">
        <v>10</v>
      </c>
      <c r="M7" s="32">
        <v>10</v>
      </c>
      <c r="N7" s="32">
        <v>10</v>
      </c>
      <c r="O7" s="32">
        <v>10</v>
      </c>
      <c r="P7" s="33">
        <v>10</v>
      </c>
      <c r="Q7" s="33" t="s">
        <v>39</v>
      </c>
      <c r="R7" s="32">
        <v>10</v>
      </c>
      <c r="S7" s="35"/>
      <c r="T7" s="35"/>
      <c r="U7" s="35"/>
      <c r="V7" s="35"/>
      <c r="W7" s="47">
        <f t="shared" si="0"/>
        <v>130</v>
      </c>
      <c r="X7" s="37">
        <f>W7*X3</f>
        <v>130</v>
      </c>
      <c r="Y7" s="38">
        <f t="shared" si="1"/>
        <v>0</v>
      </c>
      <c r="Z7" s="39"/>
      <c r="AA7" s="12">
        <v>6000</v>
      </c>
      <c r="AB7" s="6">
        <v>6000</v>
      </c>
      <c r="AC7" s="12">
        <v>6000</v>
      </c>
      <c r="AD7" s="1"/>
      <c r="AE7" s="13">
        <f t="shared" si="2"/>
        <v>18000</v>
      </c>
      <c r="AF7" s="6"/>
      <c r="AG7" s="7">
        <f t="shared" si="9"/>
        <v>41600</v>
      </c>
      <c r="AH7" s="40">
        <f t="shared" si="3"/>
        <v>59600</v>
      </c>
      <c r="AI7" s="41" t="s">
        <v>43</v>
      </c>
      <c r="AJ7" s="22" t="e">
        <f t="shared" ca="1" si="4"/>
        <v>#VALUE!</v>
      </c>
      <c r="AK7" s="42">
        <f t="shared" si="5"/>
        <v>0</v>
      </c>
      <c r="AL7" s="7">
        <f t="shared" si="6"/>
        <v>0</v>
      </c>
      <c r="AM7" s="43">
        <f t="shared" si="7"/>
        <v>0</v>
      </c>
      <c r="AN7" s="2">
        <f t="shared" si="8"/>
        <v>0</v>
      </c>
      <c r="AO7" s="44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</row>
    <row r="8" s="3" customFormat="1">
      <c r="A8" s="1">
        <v>8464334940</v>
      </c>
      <c r="B8" s="3" t="s">
        <v>45</v>
      </c>
      <c r="C8" s="7" t="s">
        <v>42</v>
      </c>
      <c r="D8" s="28">
        <v>10</v>
      </c>
      <c r="E8" s="28">
        <v>10</v>
      </c>
      <c r="F8" s="28">
        <v>10</v>
      </c>
      <c r="G8" s="28">
        <v>10</v>
      </c>
      <c r="H8" s="28">
        <v>10</v>
      </c>
      <c r="I8" s="29">
        <v>10</v>
      </c>
      <c r="J8" s="29" t="s">
        <v>39</v>
      </c>
      <c r="K8" s="30">
        <v>10</v>
      </c>
      <c r="L8" s="31">
        <v>10</v>
      </c>
      <c r="M8" s="32">
        <v>10</v>
      </c>
      <c r="N8" s="32">
        <v>10</v>
      </c>
      <c r="O8" s="32">
        <v>10</v>
      </c>
      <c r="P8" s="33" t="s">
        <v>39</v>
      </c>
      <c r="Q8" s="33" t="s">
        <v>39</v>
      </c>
      <c r="R8" s="32">
        <v>10</v>
      </c>
      <c r="S8" s="35"/>
      <c r="T8" s="35"/>
      <c r="U8" s="35"/>
      <c r="V8" s="35"/>
      <c r="W8" s="36">
        <f t="shared" si="0"/>
        <v>120</v>
      </c>
      <c r="X8" s="46">
        <f>W8*X3</f>
        <v>120</v>
      </c>
      <c r="Y8" s="38">
        <f t="shared" si="1"/>
        <v>0</v>
      </c>
      <c r="Z8" s="39"/>
      <c r="AA8" s="12">
        <v>6000</v>
      </c>
      <c r="AB8" s="6">
        <v>6000</v>
      </c>
      <c r="AC8" s="12">
        <v>4500</v>
      </c>
      <c r="AD8" s="1"/>
      <c r="AE8" s="13">
        <f t="shared" si="2"/>
        <v>16500</v>
      </c>
      <c r="AF8" s="6"/>
      <c r="AG8" s="7">
        <f t="shared" si="9"/>
        <v>38400</v>
      </c>
      <c r="AH8" s="40">
        <f t="shared" si="3"/>
        <v>54900</v>
      </c>
      <c r="AI8" s="41" t="s">
        <v>43</v>
      </c>
      <c r="AJ8" s="22" t="e">
        <f t="shared" ca="1" si="4"/>
        <v>#VALUE!</v>
      </c>
      <c r="AK8" s="42">
        <f t="shared" si="5"/>
        <v>0</v>
      </c>
      <c r="AL8" s="7">
        <f t="shared" si="6"/>
        <v>0</v>
      </c>
      <c r="AM8" s="43">
        <f t="shared" si="7"/>
        <v>0</v>
      </c>
      <c r="AN8" s="2">
        <f t="shared" si="8"/>
        <v>0</v>
      </c>
      <c r="AO8" s="44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</row>
    <row r="9" s="3" customFormat="1">
      <c r="A9" s="1">
        <v>5211701191</v>
      </c>
      <c r="B9" s="3" t="s">
        <v>46</v>
      </c>
      <c r="C9" s="7" t="s">
        <v>42</v>
      </c>
      <c r="D9" s="28">
        <v>10</v>
      </c>
      <c r="E9" s="28">
        <v>10</v>
      </c>
      <c r="F9" s="28">
        <v>10</v>
      </c>
      <c r="G9" s="28">
        <v>10</v>
      </c>
      <c r="H9" s="28">
        <v>10</v>
      </c>
      <c r="I9" s="29">
        <v>10</v>
      </c>
      <c r="J9" s="29" t="s">
        <v>39</v>
      </c>
      <c r="K9" s="30">
        <v>10</v>
      </c>
      <c r="L9" s="48">
        <v>10</v>
      </c>
      <c r="M9" s="49">
        <v>10</v>
      </c>
      <c r="N9" s="49">
        <v>10</v>
      </c>
      <c r="O9" s="49">
        <v>10</v>
      </c>
      <c r="P9" s="50">
        <v>10</v>
      </c>
      <c r="Q9" s="50" t="s">
        <v>39</v>
      </c>
      <c r="R9" s="49">
        <v>10</v>
      </c>
      <c r="S9" s="35"/>
      <c r="T9" s="35"/>
      <c r="U9" s="35"/>
      <c r="V9" s="35"/>
      <c r="W9" s="47">
        <f t="shared" si="0"/>
        <v>130</v>
      </c>
      <c r="X9" s="37">
        <f>W9*X3</f>
        <v>130</v>
      </c>
      <c r="Y9" s="38">
        <f t="shared" si="1"/>
        <v>0</v>
      </c>
      <c r="Z9" s="39"/>
      <c r="AA9" s="12">
        <v>6000</v>
      </c>
      <c r="AB9" s="6">
        <v>6000</v>
      </c>
      <c r="AC9" s="12">
        <v>6000</v>
      </c>
      <c r="AD9" s="1"/>
      <c r="AE9" s="13">
        <f t="shared" si="2"/>
        <v>18000</v>
      </c>
      <c r="AF9" s="6"/>
      <c r="AG9" s="7">
        <f t="shared" si="9"/>
        <v>41600</v>
      </c>
      <c r="AH9" s="40">
        <f t="shared" si="3"/>
        <v>59600</v>
      </c>
      <c r="AI9" s="41" t="s">
        <v>43</v>
      </c>
      <c r="AJ9" s="22" t="e">
        <f t="shared" ca="1" si="4"/>
        <v>#VALUE!</v>
      </c>
      <c r="AK9" s="42">
        <f t="shared" si="5"/>
        <v>0</v>
      </c>
      <c r="AL9" s="7">
        <f t="shared" si="6"/>
        <v>0</v>
      </c>
      <c r="AM9" s="43">
        <f t="shared" si="7"/>
        <v>0</v>
      </c>
      <c r="AN9" s="2">
        <f t="shared" si="8"/>
        <v>0</v>
      </c>
      <c r="AO9" s="44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</row>
    <row r="10" s="3" customFormat="1">
      <c r="A10" s="1">
        <v>5243318889</v>
      </c>
      <c r="B10" s="3" t="s">
        <v>47</v>
      </c>
      <c r="C10" s="7" t="s">
        <v>42</v>
      </c>
      <c r="D10" s="28">
        <v>10</v>
      </c>
      <c r="E10" s="28">
        <v>10</v>
      </c>
      <c r="F10" s="28">
        <v>10</v>
      </c>
      <c r="G10" s="28">
        <v>10</v>
      </c>
      <c r="H10" s="28">
        <v>10</v>
      </c>
      <c r="I10" s="29">
        <v>10</v>
      </c>
      <c r="J10" s="29" t="s">
        <v>39</v>
      </c>
      <c r="K10" s="30">
        <v>10</v>
      </c>
      <c r="L10" s="31">
        <v>10</v>
      </c>
      <c r="M10" s="32">
        <v>10</v>
      </c>
      <c r="N10" s="32">
        <v>10</v>
      </c>
      <c r="O10" s="32">
        <v>10</v>
      </c>
      <c r="P10" s="33">
        <v>10</v>
      </c>
      <c r="Q10" s="33" t="s">
        <v>39</v>
      </c>
      <c r="R10" s="32">
        <v>10</v>
      </c>
      <c r="S10" s="35"/>
      <c r="T10" s="35"/>
      <c r="U10" s="35"/>
      <c r="V10" s="35"/>
      <c r="W10" s="36">
        <f t="shared" ref="W10:W47" si="10">SUM(D10:V10)</f>
        <v>130</v>
      </c>
      <c r="X10" s="46">
        <f>W10*X3</f>
        <v>130</v>
      </c>
      <c r="Y10" s="38">
        <f t="shared" ref="Y10:Y47" si="11">AO10</f>
        <v>0</v>
      </c>
      <c r="Z10" s="39"/>
      <c r="AA10" s="12">
        <v>6000</v>
      </c>
      <c r="AB10" s="6">
        <v>6000</v>
      </c>
      <c r="AC10" s="12">
        <v>6000</v>
      </c>
      <c r="AD10" s="1"/>
      <c r="AE10" s="13">
        <f t="shared" ref="AE10:AE47" si="12">SUM(AA10:AD10)</f>
        <v>18000</v>
      </c>
      <c r="AF10" s="6"/>
      <c r="AG10" s="7">
        <f>X10*320</f>
        <v>41600</v>
      </c>
      <c r="AH10" s="40">
        <f t="shared" ref="AH10:AH47" si="13">AG10+AE10+AK10+AL10+AF10</f>
        <v>59600</v>
      </c>
      <c r="AI10" s="41" t="s">
        <v>43</v>
      </c>
      <c r="AJ10" s="22" t="e">
        <f t="shared" ref="AJ10:AJ47" ca="1" si="14">(TODAY()-AI10)/364</f>
        <v>#VALUE!</v>
      </c>
      <c r="AK10" s="42">
        <f t="shared" ref="AK10:AK47" si="15">AM10*SUM(AA10:AD10)/100</f>
        <v>0</v>
      </c>
      <c r="AL10" s="7">
        <f t="shared" ref="AL10:AL47" si="16">AE10/100*AO10</f>
        <v>0</v>
      </c>
      <c r="AM10" s="43">
        <f t="shared" ref="AM10:AM43" si="17">3*AN10</f>
        <v>0</v>
      </c>
      <c r="AN10" s="2">
        <f t="shared" ref="AN10:AN47" si="18">SUM(AP10:AU10)</f>
        <v>0</v>
      </c>
      <c r="AO10" s="44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</row>
    <row r="11" ht="16.5">
      <c r="A11" s="1">
        <v>5494859003</v>
      </c>
      <c r="B11" s="7" t="s">
        <v>48</v>
      </c>
      <c r="C11" s="7" t="s">
        <v>49</v>
      </c>
      <c r="D11" s="51">
        <v>10</v>
      </c>
      <c r="E11" s="51">
        <v>10</v>
      </c>
      <c r="F11" s="51">
        <v>10</v>
      </c>
      <c r="G11" s="51">
        <v>10</v>
      </c>
      <c r="H11" s="51">
        <v>10</v>
      </c>
      <c r="I11" s="52">
        <v>8</v>
      </c>
      <c r="J11" s="52" t="s">
        <v>39</v>
      </c>
      <c r="K11" s="51">
        <v>8</v>
      </c>
      <c r="L11" s="51">
        <v>8</v>
      </c>
      <c r="M11" s="51">
        <v>10</v>
      </c>
      <c r="N11" s="51">
        <v>8</v>
      </c>
      <c r="O11" s="51">
        <v>8</v>
      </c>
      <c r="P11" s="52">
        <v>8</v>
      </c>
      <c r="Q11" s="52">
        <v>8</v>
      </c>
      <c r="R11" s="30">
        <v>10</v>
      </c>
      <c r="S11" s="35"/>
      <c r="T11" s="35"/>
      <c r="U11" s="35"/>
      <c r="V11" s="35"/>
      <c r="W11" s="36">
        <f t="shared" si="10"/>
        <v>126</v>
      </c>
      <c r="X11" s="37">
        <f>W11*X3</f>
        <v>126</v>
      </c>
      <c r="Y11" s="38">
        <f t="shared" si="11"/>
        <v>65</v>
      </c>
      <c r="Z11" s="53"/>
      <c r="AA11" s="12">
        <v>10000</v>
      </c>
      <c r="AB11" s="6">
        <v>10000</v>
      </c>
      <c r="AC11" s="12">
        <v>10000</v>
      </c>
      <c r="AD11" s="1"/>
      <c r="AE11" s="13">
        <f t="shared" si="12"/>
        <v>30000</v>
      </c>
      <c r="AF11" s="6">
        <v>7500</v>
      </c>
      <c r="AG11">
        <f>X11*380</f>
        <v>47880</v>
      </c>
      <c r="AH11" s="40">
        <f t="shared" si="13"/>
        <v>106680</v>
      </c>
      <c r="AI11" s="41" t="s">
        <v>40</v>
      </c>
      <c r="AJ11" s="22" t="e">
        <f t="shared" ca="1" si="14"/>
        <v>#VALUE!</v>
      </c>
      <c r="AK11" s="42">
        <f t="shared" si="15"/>
        <v>1800</v>
      </c>
      <c r="AL11" s="23">
        <f t="shared" si="16"/>
        <v>19500</v>
      </c>
      <c r="AM11" s="43">
        <f t="shared" si="17"/>
        <v>6</v>
      </c>
      <c r="AN11" s="43">
        <f t="shared" si="18"/>
        <v>2</v>
      </c>
      <c r="AO11" s="44">
        <v>65</v>
      </c>
      <c r="AP11" s="2">
        <v>0</v>
      </c>
      <c r="AQ11" s="2">
        <v>1</v>
      </c>
      <c r="AR11" s="2">
        <v>0</v>
      </c>
      <c r="AS11" s="2">
        <v>1</v>
      </c>
      <c r="AT11" s="2">
        <v>0</v>
      </c>
      <c r="AU11" s="2">
        <v>0</v>
      </c>
    </row>
    <row r="12">
      <c r="A12" s="1"/>
      <c r="B12" s="54" t="s">
        <v>50</v>
      </c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35"/>
      <c r="T12" s="35"/>
      <c r="U12" s="35"/>
      <c r="V12" s="35"/>
      <c r="W12" s="56"/>
      <c r="X12" s="57"/>
      <c r="Y12" s="57"/>
      <c r="Z12" s="58"/>
      <c r="AA12" s="54"/>
      <c r="AB12" s="54"/>
      <c r="AC12" s="54"/>
      <c r="AD12" s="54"/>
      <c r="AE12" s="54"/>
      <c r="AF12" s="54"/>
      <c r="AG12" s="54"/>
      <c r="AH12" s="59"/>
      <c r="AI12" s="54"/>
      <c r="AJ12" s="54"/>
      <c r="AK12" s="54"/>
      <c r="AL12" s="54"/>
      <c r="AM12" s="54"/>
      <c r="AN12" s="60"/>
      <c r="AO12" s="61"/>
      <c r="AP12" s="61"/>
      <c r="AQ12" s="61"/>
      <c r="AR12" s="61"/>
      <c r="AS12" s="61"/>
      <c r="AT12" s="61"/>
      <c r="AU12" s="61"/>
    </row>
    <row r="13" ht="16.5">
      <c r="A13" s="1">
        <v>2060391368</v>
      </c>
      <c r="B13" t="s">
        <v>51</v>
      </c>
      <c r="C13" t="s">
        <v>49</v>
      </c>
      <c r="D13" s="28">
        <v>12</v>
      </c>
      <c r="E13" s="28">
        <v>12</v>
      </c>
      <c r="F13" s="28">
        <v>12</v>
      </c>
      <c r="G13" s="28">
        <v>12</v>
      </c>
      <c r="H13" s="28">
        <v>12</v>
      </c>
      <c r="I13" s="62" t="s">
        <v>39</v>
      </c>
      <c r="J13" s="62" t="s">
        <v>39</v>
      </c>
      <c r="K13" s="28">
        <v>10</v>
      </c>
      <c r="L13" s="31">
        <v>10</v>
      </c>
      <c r="M13" s="32">
        <v>10</v>
      </c>
      <c r="N13" s="32">
        <v>10</v>
      </c>
      <c r="O13" s="32">
        <v>10</v>
      </c>
      <c r="P13" s="33">
        <v>10</v>
      </c>
      <c r="Q13" s="33" t="s">
        <v>39</v>
      </c>
      <c r="R13" s="32">
        <v>10</v>
      </c>
      <c r="S13" s="35"/>
      <c r="T13" s="35"/>
      <c r="U13" s="35"/>
      <c r="V13" s="35"/>
      <c r="W13" s="36">
        <f t="shared" si="10"/>
        <v>130</v>
      </c>
      <c r="X13" s="37">
        <f>W13*X3</f>
        <v>130</v>
      </c>
      <c r="Y13" s="38">
        <f t="shared" si="11"/>
        <v>75</v>
      </c>
      <c r="Z13" s="39"/>
      <c r="AA13" s="12">
        <v>12500</v>
      </c>
      <c r="AB13" s="6">
        <v>12500</v>
      </c>
      <c r="AC13" s="12">
        <v>12500</v>
      </c>
      <c r="AD13" s="1"/>
      <c r="AE13" s="13">
        <f t="shared" si="12"/>
        <v>37500</v>
      </c>
      <c r="AF13" s="6"/>
      <c r="AG13" s="7">
        <f>X13*500</f>
        <v>65000</v>
      </c>
      <c r="AH13" s="40">
        <f t="shared" si="13"/>
        <v>137375</v>
      </c>
      <c r="AI13" s="41" t="s">
        <v>52</v>
      </c>
      <c r="AJ13" s="22" t="e">
        <f t="shared" ca="1" si="14"/>
        <v>#VALUE!</v>
      </c>
      <c r="AK13" s="42">
        <f t="shared" si="15"/>
        <v>6750</v>
      </c>
      <c r="AL13" s="23">
        <f t="shared" si="16"/>
        <v>28125</v>
      </c>
      <c r="AM13" s="43">
        <f t="shared" si="17"/>
        <v>18</v>
      </c>
      <c r="AN13" s="43">
        <f t="shared" si="18"/>
        <v>6</v>
      </c>
      <c r="AO13" s="44">
        <v>75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>
        <v>1</v>
      </c>
    </row>
    <row r="14" ht="16.5">
      <c r="A14" s="1">
        <v>1329170735</v>
      </c>
      <c r="B14" t="s">
        <v>53</v>
      </c>
      <c r="C14" t="s">
        <v>54</v>
      </c>
      <c r="D14" s="30">
        <v>12</v>
      </c>
      <c r="E14" s="63" t="s">
        <v>55</v>
      </c>
      <c r="F14" s="30" t="s">
        <v>55</v>
      </c>
      <c r="G14" s="63" t="s">
        <v>55</v>
      </c>
      <c r="H14" s="30" t="s">
        <v>55</v>
      </c>
      <c r="I14" s="64" t="s">
        <v>55</v>
      </c>
      <c r="J14" s="62" t="s">
        <v>55</v>
      </c>
      <c r="K14" s="65" t="s">
        <v>55</v>
      </c>
      <c r="L14" s="66" t="s">
        <v>55</v>
      </c>
      <c r="M14" s="63" t="s">
        <v>55</v>
      </c>
      <c r="N14" s="67" t="s">
        <v>55</v>
      </c>
      <c r="O14" s="63" t="s">
        <v>55</v>
      </c>
      <c r="P14" s="68" t="s">
        <v>55</v>
      </c>
      <c r="Q14" s="69" t="s">
        <v>55</v>
      </c>
      <c r="R14" s="65" t="s">
        <v>55</v>
      </c>
      <c r="S14" s="35"/>
      <c r="T14" s="35"/>
      <c r="U14" s="35"/>
      <c r="V14" s="35"/>
      <c r="W14" s="36">
        <f t="shared" si="10"/>
        <v>12</v>
      </c>
      <c r="X14" s="37">
        <f>W14*X3</f>
        <v>12</v>
      </c>
      <c r="Y14" s="38">
        <f t="shared" si="11"/>
        <v>75</v>
      </c>
      <c r="Z14" s="39">
        <f>8681</f>
        <v>8681</v>
      </c>
      <c r="AA14" s="12">
        <v>0</v>
      </c>
      <c r="AB14" s="6">
        <v>0</v>
      </c>
      <c r="AC14" s="12">
        <v>0</v>
      </c>
      <c r="AD14" s="1"/>
      <c r="AE14" s="13">
        <f t="shared" si="12"/>
        <v>0</v>
      </c>
      <c r="AF14" s="6"/>
      <c r="AG14" s="7">
        <f>X14*600</f>
        <v>7200</v>
      </c>
      <c r="AH14" s="40">
        <f t="shared" si="13"/>
        <v>7200</v>
      </c>
      <c r="AI14" s="41" t="s">
        <v>52</v>
      </c>
      <c r="AJ14" s="22" t="e">
        <f t="shared" ca="1" si="14"/>
        <v>#VALUE!</v>
      </c>
      <c r="AK14" s="42">
        <f t="shared" si="15"/>
        <v>0</v>
      </c>
      <c r="AL14" s="23">
        <f t="shared" si="16"/>
        <v>0</v>
      </c>
      <c r="AM14" s="43">
        <f t="shared" si="17"/>
        <v>18</v>
      </c>
      <c r="AN14" s="43">
        <f t="shared" si="18"/>
        <v>6</v>
      </c>
      <c r="AO14" s="44">
        <v>75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7">
        <v>1</v>
      </c>
    </row>
    <row r="15" ht="16.5">
      <c r="A15" s="1">
        <v>5918684860</v>
      </c>
      <c r="B15" s="7" t="s">
        <v>56</v>
      </c>
      <c r="C15" t="s">
        <v>38</v>
      </c>
      <c r="D15" s="28">
        <v>12</v>
      </c>
      <c r="E15" s="28">
        <v>12</v>
      </c>
      <c r="F15" s="28">
        <v>12</v>
      </c>
      <c r="G15" s="28">
        <v>12</v>
      </c>
      <c r="H15" s="28" t="s">
        <v>39</v>
      </c>
      <c r="I15" s="62" t="s">
        <v>39</v>
      </c>
      <c r="J15" s="62" t="s">
        <v>39</v>
      </c>
      <c r="K15" s="28">
        <v>10</v>
      </c>
      <c r="L15" s="31">
        <v>10</v>
      </c>
      <c r="M15" s="32">
        <v>10</v>
      </c>
      <c r="N15" s="32">
        <v>10</v>
      </c>
      <c r="O15" s="32">
        <v>10</v>
      </c>
      <c r="P15" s="33">
        <v>10</v>
      </c>
      <c r="Q15" s="33" t="s">
        <v>39</v>
      </c>
      <c r="R15" s="32">
        <v>10</v>
      </c>
      <c r="S15" s="34"/>
      <c r="T15" s="34"/>
      <c r="U15" s="34"/>
      <c r="V15" s="35"/>
      <c r="W15" s="36">
        <f t="shared" si="10"/>
        <v>118</v>
      </c>
      <c r="X15" s="37">
        <f>W15*X3</f>
        <v>118</v>
      </c>
      <c r="Y15" s="38">
        <f t="shared" si="11"/>
        <v>75</v>
      </c>
      <c r="Z15" s="39"/>
      <c r="AA15" s="12">
        <v>7500</v>
      </c>
      <c r="AB15" s="6">
        <v>7500</v>
      </c>
      <c r="AC15" s="12">
        <v>7500</v>
      </c>
      <c r="AD15" s="1"/>
      <c r="AE15" s="13">
        <f t="shared" si="12"/>
        <v>22500</v>
      </c>
      <c r="AF15" s="6"/>
      <c r="AG15" s="7">
        <f>X15*400</f>
        <v>47200</v>
      </c>
      <c r="AH15" s="40">
        <f t="shared" si="13"/>
        <v>89950</v>
      </c>
      <c r="AI15" s="41" t="s">
        <v>57</v>
      </c>
      <c r="AJ15" s="22" t="e">
        <f t="shared" ca="1" si="14"/>
        <v>#VALUE!</v>
      </c>
      <c r="AK15" s="42">
        <f t="shared" si="15"/>
        <v>3375</v>
      </c>
      <c r="AL15" s="23">
        <f t="shared" si="16"/>
        <v>16875</v>
      </c>
      <c r="AM15" s="43">
        <f t="shared" si="17"/>
        <v>15</v>
      </c>
      <c r="AN15" s="43">
        <f t="shared" si="18"/>
        <v>5</v>
      </c>
      <c r="AO15" s="44">
        <v>75</v>
      </c>
      <c r="AP15" s="2">
        <v>1</v>
      </c>
      <c r="AQ15" s="2">
        <v>1</v>
      </c>
      <c r="AR15" s="2">
        <v>0</v>
      </c>
      <c r="AS15" s="2">
        <v>1</v>
      </c>
      <c r="AT15" s="2">
        <v>1</v>
      </c>
      <c r="AU15" s="7">
        <v>1</v>
      </c>
    </row>
    <row r="16">
      <c r="A16" s="1"/>
      <c r="C16" s="7"/>
      <c r="D16" s="28"/>
      <c r="E16" s="28"/>
      <c r="F16" s="28"/>
      <c r="G16" s="28"/>
      <c r="H16" s="28"/>
      <c r="I16" s="62"/>
      <c r="J16" s="62"/>
      <c r="K16" s="28"/>
      <c r="L16" s="28"/>
      <c r="M16" s="28"/>
      <c r="N16" s="28"/>
      <c r="O16" s="28"/>
      <c r="P16" s="29"/>
      <c r="Q16" s="29"/>
      <c r="R16" s="28"/>
      <c r="S16" s="35"/>
      <c r="T16" s="35"/>
      <c r="U16" s="35"/>
      <c r="V16" s="35"/>
      <c r="W16" s="36"/>
      <c r="X16" s="37"/>
      <c r="Y16" s="38"/>
      <c r="Z16" s="39"/>
      <c r="AA16" s="12"/>
      <c r="AB16" s="6"/>
      <c r="AC16" s="12"/>
      <c r="AD16" s="1"/>
      <c r="AE16" s="13"/>
      <c r="AF16" s="6"/>
      <c r="AH16" s="40"/>
      <c r="AI16" s="41"/>
      <c r="AJ16" s="22"/>
      <c r="AK16" s="42"/>
      <c r="AL16" s="23"/>
      <c r="AM16" s="43"/>
      <c r="AN16" s="43"/>
      <c r="AO16" s="44"/>
      <c r="AP16" s="2"/>
      <c r="AQ16" s="2"/>
      <c r="AR16" s="2"/>
      <c r="AS16" s="2"/>
      <c r="AT16" s="2"/>
      <c r="AU16" s="7"/>
    </row>
    <row r="17">
      <c r="A17" s="1"/>
      <c r="B17" s="12" t="s">
        <v>58</v>
      </c>
      <c r="C17" s="12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35"/>
      <c r="T17" s="35"/>
      <c r="U17" s="35"/>
      <c r="V17" s="35"/>
      <c r="W17" s="71"/>
      <c r="X17" s="72"/>
      <c r="Y17" s="72"/>
      <c r="Z17" s="73"/>
      <c r="AA17" s="12"/>
      <c r="AB17" s="12"/>
      <c r="AC17" s="12"/>
      <c r="AD17" s="12"/>
      <c r="AE17" s="12"/>
      <c r="AF17" s="12"/>
      <c r="AG17" s="12"/>
      <c r="AH17" s="74"/>
      <c r="AI17" s="12"/>
      <c r="AJ17" s="12"/>
      <c r="AK17" s="12"/>
      <c r="AL17" s="75"/>
      <c r="AM17" s="76"/>
      <c r="AN17" s="76"/>
      <c r="AO17" s="76"/>
      <c r="AP17" s="76"/>
      <c r="AQ17" s="76"/>
      <c r="AR17" s="76"/>
      <c r="AS17" s="76"/>
      <c r="AT17" s="76"/>
      <c r="AU17" s="76"/>
    </row>
    <row r="18">
      <c r="A18" s="1">
        <v>2098679816</v>
      </c>
      <c r="B18" t="s">
        <v>59</v>
      </c>
      <c r="C18" t="s">
        <v>49</v>
      </c>
      <c r="D18" s="28">
        <v>10</v>
      </c>
      <c r="E18" s="77">
        <v>10</v>
      </c>
      <c r="F18" s="78">
        <v>10</v>
      </c>
      <c r="G18" s="77">
        <v>10</v>
      </c>
      <c r="H18" s="78">
        <v>10</v>
      </c>
      <c r="I18" s="79">
        <v>10</v>
      </c>
      <c r="J18" s="64" t="s">
        <v>39</v>
      </c>
      <c r="K18" s="65">
        <v>10</v>
      </c>
      <c r="L18" s="31">
        <v>10</v>
      </c>
      <c r="M18" s="32">
        <v>10</v>
      </c>
      <c r="N18" s="32">
        <v>10</v>
      </c>
      <c r="O18" s="32">
        <v>10</v>
      </c>
      <c r="P18" s="33">
        <v>10</v>
      </c>
      <c r="Q18" s="33" t="s">
        <v>39</v>
      </c>
      <c r="R18" s="32">
        <v>10</v>
      </c>
      <c r="S18" s="34"/>
      <c r="T18" s="34"/>
      <c r="U18" s="34"/>
      <c r="V18" s="35"/>
      <c r="W18" s="36">
        <f t="shared" si="10"/>
        <v>130</v>
      </c>
      <c r="X18" s="37">
        <f>W18*X3</f>
        <v>130</v>
      </c>
      <c r="Y18" s="38">
        <f t="shared" si="11"/>
        <v>70</v>
      </c>
      <c r="Z18" s="39"/>
      <c r="AA18" s="12">
        <v>12500</v>
      </c>
      <c r="AB18" s="6">
        <v>12500</v>
      </c>
      <c r="AC18" s="12">
        <v>12500</v>
      </c>
      <c r="AD18" s="1"/>
      <c r="AE18" s="13">
        <f t="shared" si="12"/>
        <v>37500</v>
      </c>
      <c r="AF18" s="6"/>
      <c r="AG18">
        <f>X18*400</f>
        <v>52000</v>
      </c>
      <c r="AH18" s="40">
        <f t="shared" si="13"/>
        <v>120250</v>
      </c>
      <c r="AI18" s="41" t="s">
        <v>60</v>
      </c>
      <c r="AJ18" s="22" t="e">
        <f t="shared" ca="1" si="14"/>
        <v>#VALUE!</v>
      </c>
      <c r="AK18" s="42">
        <f t="shared" si="15"/>
        <v>4500</v>
      </c>
      <c r="AL18" s="23">
        <f t="shared" si="16"/>
        <v>26250</v>
      </c>
      <c r="AM18" s="43">
        <f t="shared" si="17"/>
        <v>12</v>
      </c>
      <c r="AN18" s="43">
        <f t="shared" si="18"/>
        <v>4</v>
      </c>
      <c r="AO18" s="44">
        <v>70</v>
      </c>
      <c r="AP18" s="2">
        <v>1</v>
      </c>
      <c r="AQ18" s="2">
        <v>0</v>
      </c>
      <c r="AR18" s="2">
        <v>1</v>
      </c>
      <c r="AS18" s="2">
        <v>1</v>
      </c>
      <c r="AT18" s="2">
        <v>0</v>
      </c>
      <c r="AU18" s="7">
        <v>1</v>
      </c>
    </row>
    <row r="19">
      <c r="A19" s="1"/>
      <c r="C19" s="7"/>
      <c r="D19" s="30"/>
      <c r="E19" s="30"/>
      <c r="F19" s="30"/>
      <c r="G19" s="30"/>
      <c r="H19" s="30"/>
      <c r="I19" s="62"/>
      <c r="J19" s="62"/>
      <c r="K19" s="30"/>
      <c r="L19" s="30"/>
      <c r="M19" s="30"/>
      <c r="N19" s="30"/>
      <c r="O19" s="30"/>
      <c r="P19" s="29"/>
      <c r="Q19" s="29"/>
      <c r="R19" s="30"/>
      <c r="S19" s="35"/>
      <c r="T19" s="35"/>
      <c r="U19" s="35"/>
      <c r="V19" s="35"/>
      <c r="W19" s="36"/>
      <c r="X19" s="37"/>
      <c r="Y19" s="38"/>
      <c r="Z19" s="39"/>
      <c r="AA19" s="12"/>
      <c r="AB19" s="6"/>
      <c r="AC19" s="12"/>
      <c r="AD19" s="1"/>
      <c r="AE19" s="13"/>
      <c r="AF19" s="6"/>
      <c r="AH19" s="40"/>
      <c r="AI19" s="41"/>
      <c r="AJ19" s="22"/>
      <c r="AK19" s="42"/>
      <c r="AL19" s="23"/>
      <c r="AM19" s="43"/>
      <c r="AN19" s="43"/>
      <c r="AO19" s="44"/>
      <c r="AP19" s="2"/>
      <c r="AQ19" s="2"/>
      <c r="AR19" s="2"/>
      <c r="AS19" s="2"/>
      <c r="AT19" s="2"/>
      <c r="AU19" s="7"/>
    </row>
    <row r="20">
      <c r="A20" s="1">
        <v>1808271318</v>
      </c>
      <c r="B20" s="7" t="s">
        <v>61</v>
      </c>
      <c r="C20" t="s">
        <v>49</v>
      </c>
      <c r="D20" s="28">
        <v>10</v>
      </c>
      <c r="E20" s="28">
        <v>10</v>
      </c>
      <c r="F20" s="28">
        <v>10</v>
      </c>
      <c r="G20" s="28">
        <v>10</v>
      </c>
      <c r="H20" s="28">
        <v>10</v>
      </c>
      <c r="I20" s="62">
        <v>10</v>
      </c>
      <c r="J20" s="62" t="s">
        <v>39</v>
      </c>
      <c r="K20" s="30">
        <v>10</v>
      </c>
      <c r="L20" s="31">
        <v>10</v>
      </c>
      <c r="M20" s="32">
        <v>10</v>
      </c>
      <c r="N20" s="32">
        <v>10</v>
      </c>
      <c r="O20" s="32">
        <v>10</v>
      </c>
      <c r="P20" s="33">
        <v>10</v>
      </c>
      <c r="Q20" s="33" t="s">
        <v>39</v>
      </c>
      <c r="R20" s="32">
        <v>10</v>
      </c>
      <c r="S20" s="34"/>
      <c r="T20" s="34"/>
      <c r="U20" s="34"/>
      <c r="V20" s="35"/>
      <c r="W20" s="36">
        <f t="shared" si="10"/>
        <v>130</v>
      </c>
      <c r="X20" s="37">
        <f>W20*X3</f>
        <v>130</v>
      </c>
      <c r="Y20" s="38">
        <f t="shared" si="11"/>
        <v>75</v>
      </c>
      <c r="Z20" s="39">
        <f>60+211+1996.61+2116.3+1563.8+1563.8+1570.8+1570.8-244-244-244-244-244</f>
        <v>9433.1099999999988</v>
      </c>
      <c r="AA20" s="12">
        <v>12500</v>
      </c>
      <c r="AB20" s="6">
        <v>12500</v>
      </c>
      <c r="AC20" s="12">
        <v>12500</v>
      </c>
      <c r="AD20" s="1"/>
      <c r="AE20" s="13">
        <f t="shared" si="12"/>
        <v>37500</v>
      </c>
      <c r="AF20" s="6"/>
      <c r="AG20">
        <f>X20*450</f>
        <v>58500</v>
      </c>
      <c r="AH20" s="40">
        <f t="shared" si="13"/>
        <v>127500</v>
      </c>
      <c r="AI20" s="80" t="s">
        <v>62</v>
      </c>
      <c r="AJ20" s="22" t="e">
        <f t="shared" ca="1" si="14"/>
        <v>#VALUE!</v>
      </c>
      <c r="AK20" s="42">
        <f t="shared" si="15"/>
        <v>3375</v>
      </c>
      <c r="AL20" s="23">
        <f t="shared" si="16"/>
        <v>28125</v>
      </c>
      <c r="AM20" s="43">
        <f t="shared" si="17"/>
        <v>9</v>
      </c>
      <c r="AN20" s="43">
        <f t="shared" si="18"/>
        <v>3</v>
      </c>
      <c r="AO20" s="44">
        <v>75</v>
      </c>
      <c r="AP20" s="2">
        <v>1</v>
      </c>
      <c r="AQ20" s="2">
        <v>0</v>
      </c>
      <c r="AR20" s="2">
        <v>1</v>
      </c>
      <c r="AS20" s="2">
        <v>1</v>
      </c>
      <c r="AT20" s="2">
        <v>0</v>
      </c>
      <c r="AU20" s="7">
        <v>0</v>
      </c>
    </row>
    <row r="21">
      <c r="A21" s="1">
        <v>1585366203</v>
      </c>
      <c r="B21" s="7" t="s">
        <v>63</v>
      </c>
      <c r="C21" t="s">
        <v>38</v>
      </c>
      <c r="D21" s="28">
        <v>10</v>
      </c>
      <c r="E21" s="28">
        <v>10</v>
      </c>
      <c r="F21" s="28">
        <v>10</v>
      </c>
      <c r="G21" s="28">
        <v>10</v>
      </c>
      <c r="H21" s="28">
        <v>10</v>
      </c>
      <c r="I21" s="62">
        <v>10</v>
      </c>
      <c r="J21" s="62" t="s">
        <v>39</v>
      </c>
      <c r="K21" s="30">
        <v>10</v>
      </c>
      <c r="L21" s="31">
        <v>10</v>
      </c>
      <c r="M21" s="32">
        <v>10</v>
      </c>
      <c r="N21" s="32">
        <v>10</v>
      </c>
      <c r="O21" s="32">
        <v>10</v>
      </c>
      <c r="P21" s="33">
        <v>10</v>
      </c>
      <c r="Q21" s="33" t="s">
        <v>39</v>
      </c>
      <c r="R21" s="32">
        <v>10</v>
      </c>
      <c r="S21" s="34"/>
      <c r="T21" s="34"/>
      <c r="U21" s="34"/>
      <c r="V21" s="35"/>
      <c r="W21" s="36">
        <f t="shared" si="10"/>
        <v>130</v>
      </c>
      <c r="X21" s="37">
        <f>W21*X3</f>
        <v>130</v>
      </c>
      <c r="Y21" s="38">
        <f t="shared" si="11"/>
        <v>0</v>
      </c>
      <c r="Z21" s="39">
        <f>299.99</f>
        <v>299.99000000000001</v>
      </c>
      <c r="AA21" s="12">
        <v>7500</v>
      </c>
      <c r="AB21" s="6">
        <v>7500</v>
      </c>
      <c r="AC21" s="12">
        <v>7500</v>
      </c>
      <c r="AD21" s="1"/>
      <c r="AE21" s="13">
        <f t="shared" si="12"/>
        <v>22500</v>
      </c>
      <c r="AF21" s="6"/>
      <c r="AG21">
        <f>X21*400</f>
        <v>52000</v>
      </c>
      <c r="AH21" s="40">
        <f t="shared" si="13"/>
        <v>74500</v>
      </c>
      <c r="AI21" s="41" t="s">
        <v>64</v>
      </c>
      <c r="AJ21" s="22" t="e">
        <f t="shared" ca="1" si="14"/>
        <v>#VALUE!</v>
      </c>
      <c r="AK21" s="42">
        <f t="shared" si="15"/>
        <v>0</v>
      </c>
      <c r="AL21" s="23">
        <f t="shared" si="16"/>
        <v>0</v>
      </c>
      <c r="AM21" s="43"/>
      <c r="AN21" s="43"/>
      <c r="AO21" s="44"/>
      <c r="AP21" s="2"/>
      <c r="AQ21" s="2"/>
      <c r="AR21" s="2"/>
      <c r="AS21" s="2"/>
      <c r="AT21" s="2"/>
    </row>
    <row r="22">
      <c r="A22" s="1">
        <v>996642744</v>
      </c>
      <c r="B22" t="s">
        <v>65</v>
      </c>
      <c r="C22" t="s">
        <v>38</v>
      </c>
      <c r="D22" s="28">
        <v>12</v>
      </c>
      <c r="E22" s="28">
        <v>12</v>
      </c>
      <c r="F22" s="28">
        <v>12</v>
      </c>
      <c r="G22" s="28">
        <v>12</v>
      </c>
      <c r="H22" s="28">
        <v>12</v>
      </c>
      <c r="I22" s="62" t="s">
        <v>39</v>
      </c>
      <c r="J22" s="62" t="s">
        <v>39</v>
      </c>
      <c r="K22" s="28">
        <v>10</v>
      </c>
      <c r="L22" s="31">
        <v>10</v>
      </c>
      <c r="M22" s="32">
        <v>10</v>
      </c>
      <c r="N22" s="32">
        <v>10</v>
      </c>
      <c r="O22" s="32">
        <v>10</v>
      </c>
      <c r="P22" s="33">
        <v>10</v>
      </c>
      <c r="Q22" s="33" t="s">
        <v>39</v>
      </c>
      <c r="R22" s="32">
        <v>10</v>
      </c>
      <c r="S22" s="34"/>
      <c r="T22" s="34"/>
      <c r="U22" s="34"/>
      <c r="V22" s="35"/>
      <c r="W22" s="36">
        <f t="shared" si="10"/>
        <v>130</v>
      </c>
      <c r="X22" s="37">
        <f>W22*X3</f>
        <v>130</v>
      </c>
      <c r="Y22" s="38">
        <f t="shared" si="11"/>
        <v>0</v>
      </c>
      <c r="Z22" s="39"/>
      <c r="AA22" s="12">
        <v>7500</v>
      </c>
      <c r="AB22" s="6">
        <v>7500</v>
      </c>
      <c r="AC22" s="12">
        <v>7500</v>
      </c>
      <c r="AD22" s="1"/>
      <c r="AE22" s="13">
        <f t="shared" si="12"/>
        <v>22500</v>
      </c>
      <c r="AF22" s="6"/>
      <c r="AG22">
        <f>X22*350</f>
        <v>45500</v>
      </c>
      <c r="AH22" s="40">
        <f t="shared" si="13"/>
        <v>68000</v>
      </c>
      <c r="AI22" s="41" t="s">
        <v>64</v>
      </c>
      <c r="AJ22" s="22" t="e">
        <f t="shared" ca="1" si="14"/>
        <v>#VALUE!</v>
      </c>
      <c r="AK22" s="42">
        <f t="shared" si="15"/>
        <v>0</v>
      </c>
      <c r="AL22" s="23">
        <f t="shared" si="16"/>
        <v>0</v>
      </c>
      <c r="AM22" s="43"/>
      <c r="AN22" s="43"/>
      <c r="AO22" s="44"/>
      <c r="AP22" s="2"/>
      <c r="AQ22" s="2"/>
      <c r="AR22" s="2"/>
      <c r="AS22" s="2"/>
      <c r="AT22" s="2"/>
    </row>
    <row r="23">
      <c r="A23" s="1"/>
      <c r="B23" s="26" t="s">
        <v>66</v>
      </c>
      <c r="C23" s="26"/>
      <c r="D23" s="81"/>
      <c r="E23" s="81"/>
      <c r="F23" s="81"/>
      <c r="G23" s="81"/>
      <c r="H23" s="81"/>
      <c r="I23" s="82"/>
      <c r="J23" s="81"/>
      <c r="K23" s="81"/>
      <c r="L23" s="81"/>
      <c r="M23" s="81"/>
      <c r="N23" s="81"/>
      <c r="O23" s="81"/>
      <c r="P23" s="82"/>
      <c r="Q23" s="81"/>
      <c r="R23" s="81"/>
      <c r="S23" s="35"/>
      <c r="T23" s="35"/>
      <c r="U23" s="35"/>
      <c r="V23" s="35"/>
      <c r="W23" s="83"/>
      <c r="X23" s="84"/>
      <c r="Y23" s="84"/>
      <c r="Z23" s="85"/>
      <c r="AA23" s="26"/>
      <c r="AB23" s="26"/>
      <c r="AC23" s="26"/>
      <c r="AD23" s="26"/>
      <c r="AE23" s="26"/>
      <c r="AF23" s="26"/>
      <c r="AG23" s="26"/>
      <c r="AH23" s="86"/>
      <c r="AI23" s="26"/>
      <c r="AJ23" s="26"/>
      <c r="AK23" s="26"/>
      <c r="AL23" s="87"/>
      <c r="AM23" s="88"/>
      <c r="AN23" s="88"/>
      <c r="AO23" s="88"/>
      <c r="AP23" s="88"/>
      <c r="AQ23" s="88"/>
      <c r="AR23" s="88"/>
      <c r="AS23" s="88"/>
      <c r="AT23" s="88"/>
      <c r="AU23" s="88"/>
    </row>
    <row r="24" ht="16.5">
      <c r="A24" s="1">
        <v>5286682655</v>
      </c>
      <c r="B24" s="7" t="s">
        <v>67</v>
      </c>
      <c r="C24" s="7" t="s">
        <v>54</v>
      </c>
      <c r="D24" s="30">
        <v>12</v>
      </c>
      <c r="E24" s="30" t="s">
        <v>55</v>
      </c>
      <c r="F24" s="30" t="s">
        <v>55</v>
      </c>
      <c r="G24" s="30" t="s">
        <v>55</v>
      </c>
      <c r="H24" s="30" t="s">
        <v>55</v>
      </c>
      <c r="I24" s="62" t="s">
        <v>55</v>
      </c>
      <c r="J24" s="62" t="s">
        <v>55</v>
      </c>
      <c r="K24" s="63" t="s">
        <v>55</v>
      </c>
      <c r="L24" s="63" t="s">
        <v>55</v>
      </c>
      <c r="M24" s="30" t="s">
        <v>55</v>
      </c>
      <c r="N24" s="63" t="s">
        <v>55</v>
      </c>
      <c r="O24" s="30" t="s">
        <v>55</v>
      </c>
      <c r="P24" s="69" t="s">
        <v>55</v>
      </c>
      <c r="Q24" s="29" t="s">
        <v>55</v>
      </c>
      <c r="R24" s="63" t="s">
        <v>55</v>
      </c>
      <c r="S24" s="35"/>
      <c r="T24" s="35"/>
      <c r="U24" s="35"/>
      <c r="V24" s="35"/>
      <c r="W24" s="36">
        <f t="shared" si="10"/>
        <v>12</v>
      </c>
      <c r="X24" s="37">
        <f>W24*X3</f>
        <v>12</v>
      </c>
      <c r="Y24" s="38">
        <v>75</v>
      </c>
      <c r="Z24" s="39">
        <f>2988+13090</f>
        <v>16078</v>
      </c>
      <c r="AA24" s="12">
        <v>0</v>
      </c>
      <c r="AB24" s="6">
        <v>0</v>
      </c>
      <c r="AC24" s="12">
        <v>0</v>
      </c>
      <c r="AD24" s="1"/>
      <c r="AE24" s="13">
        <f t="shared" si="12"/>
        <v>0</v>
      </c>
      <c r="AF24" s="6"/>
      <c r="AG24">
        <f t="shared" ref="AG24:AG25" si="19">X24*650</f>
        <v>7800</v>
      </c>
      <c r="AH24" s="40">
        <f t="shared" si="13"/>
        <v>7800</v>
      </c>
      <c r="AI24" s="41" t="s">
        <v>68</v>
      </c>
      <c r="AJ24" s="22" t="e">
        <f t="shared" ca="1" si="14"/>
        <v>#VALUE!</v>
      </c>
      <c r="AK24" s="42">
        <f t="shared" si="15"/>
        <v>0</v>
      </c>
      <c r="AL24" s="23">
        <f t="shared" si="16"/>
        <v>0</v>
      </c>
      <c r="AM24" s="43">
        <f t="shared" si="17"/>
        <v>12</v>
      </c>
      <c r="AN24" s="43">
        <f t="shared" si="18"/>
        <v>4</v>
      </c>
      <c r="AO24" s="44">
        <v>75</v>
      </c>
      <c r="AP24" s="2">
        <v>1</v>
      </c>
      <c r="AQ24" s="2">
        <v>0</v>
      </c>
      <c r="AR24" s="2">
        <v>1</v>
      </c>
      <c r="AS24" s="2">
        <v>1</v>
      </c>
      <c r="AT24" s="2">
        <v>0</v>
      </c>
      <c r="AU24">
        <v>1</v>
      </c>
    </row>
    <row r="25">
      <c r="A25" s="1">
        <v>915664973</v>
      </c>
      <c r="B25" t="s">
        <v>69</v>
      </c>
      <c r="C25" t="s">
        <v>54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62">
        <v>10</v>
      </c>
      <c r="J25" s="62">
        <v>10</v>
      </c>
      <c r="K25" s="30">
        <v>10</v>
      </c>
      <c r="L25" s="31">
        <v>10</v>
      </c>
      <c r="M25" s="32">
        <v>10</v>
      </c>
      <c r="N25" s="32">
        <v>10</v>
      </c>
      <c r="O25" s="32">
        <v>10</v>
      </c>
      <c r="P25" s="33">
        <v>10</v>
      </c>
      <c r="Q25" s="33" t="s">
        <v>39</v>
      </c>
      <c r="R25" s="32">
        <v>10</v>
      </c>
      <c r="S25" s="34"/>
      <c r="T25" s="34"/>
      <c r="U25" s="34"/>
      <c r="V25" s="35"/>
      <c r="W25" s="36">
        <f t="shared" si="10"/>
        <v>140</v>
      </c>
      <c r="X25" s="37">
        <f>W25*X3</f>
        <v>140</v>
      </c>
      <c r="Y25" s="38">
        <v>65</v>
      </c>
      <c r="Z25" s="39">
        <f>3883.16+2853.44+2380+3123.71+4254.99+2799.08</f>
        <v>19294.380000000005</v>
      </c>
      <c r="AA25" s="12">
        <v>7500</v>
      </c>
      <c r="AB25" s="6">
        <v>7500</v>
      </c>
      <c r="AC25" s="12">
        <v>7500</v>
      </c>
      <c r="AD25" s="1"/>
      <c r="AE25" s="13">
        <f t="shared" si="12"/>
        <v>22500</v>
      </c>
      <c r="AF25" s="6"/>
      <c r="AG25">
        <f t="shared" si="19"/>
        <v>91000</v>
      </c>
      <c r="AH25" s="40">
        <f t="shared" si="13"/>
        <v>130825</v>
      </c>
      <c r="AI25" s="41" t="s">
        <v>70</v>
      </c>
      <c r="AJ25" s="22" t="e">
        <f t="shared" ca="1" si="14"/>
        <v>#VALUE!</v>
      </c>
      <c r="AK25" s="42">
        <f t="shared" si="15"/>
        <v>2700</v>
      </c>
      <c r="AL25" s="23">
        <f t="shared" si="16"/>
        <v>14625</v>
      </c>
      <c r="AM25" s="43">
        <f t="shared" si="17"/>
        <v>12</v>
      </c>
      <c r="AN25" s="43">
        <f t="shared" si="18"/>
        <v>4</v>
      </c>
      <c r="AO25" s="44">
        <v>65</v>
      </c>
      <c r="AP25" s="2">
        <v>0</v>
      </c>
      <c r="AQ25" s="2">
        <v>1</v>
      </c>
      <c r="AR25" s="2">
        <v>1</v>
      </c>
      <c r="AS25" s="2">
        <v>1</v>
      </c>
      <c r="AT25" s="2">
        <v>0</v>
      </c>
      <c r="AU25">
        <v>1</v>
      </c>
    </row>
    <row r="26">
      <c r="A26" s="1"/>
      <c r="C26" s="7"/>
      <c r="D26" s="89"/>
      <c r="E26" s="89"/>
      <c r="F26" s="89"/>
      <c r="G26" s="89"/>
      <c r="H26" s="89"/>
      <c r="I26" s="62"/>
      <c r="J26" s="62"/>
      <c r="K26" s="89"/>
      <c r="L26" s="89"/>
      <c r="M26" s="89"/>
      <c r="N26" s="89"/>
      <c r="O26" s="89"/>
      <c r="P26" s="69"/>
      <c r="Q26" s="29"/>
      <c r="R26" s="89"/>
      <c r="S26" s="35"/>
      <c r="T26" s="35"/>
      <c r="U26" s="35"/>
      <c r="V26" s="35"/>
      <c r="W26" s="36"/>
      <c r="X26" s="37"/>
      <c r="Y26" s="38"/>
      <c r="Z26" s="39"/>
      <c r="AA26" s="12"/>
      <c r="AB26" s="6"/>
      <c r="AC26" s="12"/>
      <c r="AD26" s="1"/>
      <c r="AE26" s="13"/>
      <c r="AF26" s="6"/>
      <c r="AH26" s="40"/>
      <c r="AI26" s="80"/>
      <c r="AJ26" s="22"/>
      <c r="AK26" s="42"/>
      <c r="AL26" s="23"/>
      <c r="AM26" s="43"/>
      <c r="AN26" s="43"/>
      <c r="AO26" s="44"/>
      <c r="AP26" s="2"/>
      <c r="AQ26" s="2"/>
      <c r="AR26" s="2"/>
      <c r="AS26" s="2"/>
      <c r="AT26" s="2"/>
      <c r="AU26" s="7"/>
    </row>
    <row r="27">
      <c r="A27" s="1"/>
      <c r="B27" s="7"/>
      <c r="D27" s="89"/>
      <c r="E27" s="89"/>
      <c r="F27" s="89"/>
      <c r="G27" s="89"/>
      <c r="H27" s="89"/>
      <c r="I27" s="62"/>
      <c r="J27" s="62"/>
      <c r="K27" s="89"/>
      <c r="L27" s="89"/>
      <c r="M27" s="89"/>
      <c r="N27" s="89"/>
      <c r="O27" s="89"/>
      <c r="P27" s="29"/>
      <c r="Q27" s="69"/>
      <c r="R27" s="89"/>
      <c r="S27" s="35"/>
      <c r="T27" s="35"/>
      <c r="U27" s="35"/>
      <c r="V27" s="35"/>
      <c r="W27" s="36"/>
      <c r="X27" s="37"/>
      <c r="Y27" s="38"/>
      <c r="Z27" s="39"/>
      <c r="AA27" s="12"/>
      <c r="AB27" s="6"/>
      <c r="AC27" s="12"/>
      <c r="AD27" s="1"/>
      <c r="AE27" s="13"/>
      <c r="AF27" s="6"/>
      <c r="AH27" s="40"/>
      <c r="AI27" s="80"/>
      <c r="AJ27" s="22"/>
      <c r="AK27" s="42"/>
      <c r="AL27" s="23"/>
      <c r="AM27" s="43"/>
      <c r="AN27" s="43"/>
      <c r="AO27" s="44"/>
      <c r="AP27" s="2"/>
      <c r="AQ27" s="2"/>
      <c r="AR27" s="2"/>
      <c r="AS27" s="2"/>
      <c r="AT27" s="2"/>
    </row>
    <row r="28" ht="16.5">
      <c r="A28" s="1">
        <v>990766520</v>
      </c>
      <c r="B28" s="7" t="s">
        <v>71</v>
      </c>
      <c r="C28" t="s">
        <v>54</v>
      </c>
      <c r="D28" s="28">
        <v>12</v>
      </c>
      <c r="E28" s="28">
        <v>12</v>
      </c>
      <c r="F28" s="28">
        <v>12</v>
      </c>
      <c r="G28" s="28">
        <v>12</v>
      </c>
      <c r="H28" s="28">
        <v>12</v>
      </c>
      <c r="I28" s="62" t="s">
        <v>39</v>
      </c>
      <c r="J28" s="62" t="s">
        <v>39</v>
      </c>
      <c r="K28" s="28">
        <v>10</v>
      </c>
      <c r="L28" s="31">
        <v>10</v>
      </c>
      <c r="M28" s="32">
        <v>10</v>
      </c>
      <c r="N28" s="32">
        <v>10</v>
      </c>
      <c r="O28" s="32">
        <v>10</v>
      </c>
      <c r="P28" s="33">
        <v>10</v>
      </c>
      <c r="Q28" s="33" t="s">
        <v>39</v>
      </c>
      <c r="R28" s="32">
        <v>10</v>
      </c>
      <c r="S28" s="34"/>
      <c r="T28" s="34"/>
      <c r="U28" s="34"/>
      <c r="V28" s="35"/>
      <c r="W28" s="36">
        <f t="shared" si="10"/>
        <v>130</v>
      </c>
      <c r="X28" s="37">
        <f>W28*X3</f>
        <v>130</v>
      </c>
      <c r="Y28" s="38">
        <v>60</v>
      </c>
      <c r="Z28" s="39">
        <f>3005.2+3062+2510.26</f>
        <v>8577.4599999999991</v>
      </c>
      <c r="AA28" s="12">
        <v>7500</v>
      </c>
      <c r="AB28" s="6">
        <v>7500</v>
      </c>
      <c r="AC28" s="12">
        <v>7500</v>
      </c>
      <c r="AD28" s="1"/>
      <c r="AE28" s="13">
        <f t="shared" si="12"/>
        <v>22500</v>
      </c>
      <c r="AF28" s="6">
        <v>7500</v>
      </c>
      <c r="AG28">
        <f>X28*600</f>
        <v>78000</v>
      </c>
      <c r="AH28" s="40">
        <f t="shared" si="13"/>
        <v>124200</v>
      </c>
      <c r="AI28" s="41" t="s">
        <v>72</v>
      </c>
      <c r="AJ28" s="22" t="e">
        <f t="shared" ca="1" si="14"/>
        <v>#VALUE!</v>
      </c>
      <c r="AK28" s="42">
        <f t="shared" si="15"/>
        <v>2700</v>
      </c>
      <c r="AL28" s="23">
        <f t="shared" si="16"/>
        <v>13500</v>
      </c>
      <c r="AM28" s="43">
        <f t="shared" si="17"/>
        <v>12</v>
      </c>
      <c r="AN28" s="43">
        <f t="shared" si="18"/>
        <v>4</v>
      </c>
      <c r="AO28" s="44">
        <v>60</v>
      </c>
      <c r="AP28" s="2">
        <v>1</v>
      </c>
      <c r="AQ28" s="2">
        <v>0</v>
      </c>
      <c r="AR28" s="2">
        <v>0</v>
      </c>
      <c r="AS28" s="2">
        <v>1</v>
      </c>
      <c r="AT28" s="2">
        <v>1</v>
      </c>
      <c r="AU28" s="7">
        <v>1</v>
      </c>
    </row>
    <row r="29">
      <c r="A29" s="1"/>
      <c r="B29" s="7"/>
      <c r="C29" s="90"/>
      <c r="D29" s="89"/>
      <c r="E29" s="89"/>
      <c r="F29" s="89"/>
      <c r="G29" s="89"/>
      <c r="H29" s="89"/>
      <c r="I29" s="62"/>
      <c r="J29" s="62"/>
      <c r="K29" s="89"/>
      <c r="L29" s="89"/>
      <c r="M29" s="89"/>
      <c r="N29" s="89"/>
      <c r="O29" s="89"/>
      <c r="P29" s="29"/>
      <c r="Q29" s="29"/>
      <c r="R29" s="89"/>
      <c r="S29" s="35"/>
      <c r="T29" s="35"/>
      <c r="U29" s="35"/>
      <c r="V29" s="35"/>
      <c r="W29" s="36"/>
      <c r="X29" s="37"/>
      <c r="Y29" s="38"/>
      <c r="Z29" s="53"/>
      <c r="AA29" s="12"/>
      <c r="AB29" s="6"/>
      <c r="AC29" s="12"/>
      <c r="AD29" s="1"/>
      <c r="AE29" s="13"/>
      <c r="AF29" s="6"/>
      <c r="AH29" s="40"/>
      <c r="AI29" s="4"/>
      <c r="AJ29" s="22"/>
      <c r="AK29" s="42"/>
      <c r="AL29" s="23"/>
      <c r="AM29" s="43"/>
      <c r="AN29" s="43"/>
      <c r="AO29" s="43"/>
      <c r="AP29" s="2"/>
      <c r="AQ29" s="2"/>
      <c r="AR29" s="2"/>
      <c r="AS29" s="2"/>
      <c r="AT29" s="2"/>
    </row>
    <row r="30">
      <c r="A30" s="1"/>
      <c r="B30" s="26" t="s">
        <v>73</v>
      </c>
      <c r="C30" s="85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35"/>
      <c r="T30" s="35"/>
      <c r="U30" s="35"/>
      <c r="V30" s="35"/>
      <c r="W30" s="84"/>
      <c r="X30" s="84"/>
      <c r="Y30" s="84"/>
      <c r="Z30" s="85"/>
      <c r="AA30" s="26"/>
      <c r="AB30" s="26"/>
      <c r="AC30" s="26"/>
      <c r="AD30" s="26"/>
      <c r="AE30" s="26"/>
      <c r="AF30" s="26"/>
      <c r="AG30" s="26"/>
      <c r="AH30" s="86"/>
      <c r="AI30" s="26"/>
      <c r="AJ30" s="26"/>
      <c r="AK30" s="26"/>
      <c r="AL30" s="87"/>
      <c r="AM30" s="88"/>
      <c r="AN30" s="88"/>
      <c r="AO30" s="88"/>
      <c r="AP30" s="88"/>
      <c r="AQ30" s="88"/>
      <c r="AR30" s="88"/>
      <c r="AS30" s="88"/>
      <c r="AT30" s="88"/>
      <c r="AU30" s="88"/>
    </row>
    <row r="31" ht="16.5">
      <c r="A31" s="1">
        <v>1803542265</v>
      </c>
      <c r="B31" t="s">
        <v>74</v>
      </c>
      <c r="C31" s="7" t="s">
        <v>75</v>
      </c>
      <c r="D31" s="28">
        <v>10</v>
      </c>
      <c r="E31" s="78">
        <v>10</v>
      </c>
      <c r="F31" s="28">
        <v>10</v>
      </c>
      <c r="G31" s="78">
        <v>10</v>
      </c>
      <c r="H31" s="28">
        <v>10</v>
      </c>
      <c r="I31" s="64">
        <v>10</v>
      </c>
      <c r="J31" s="62" t="s">
        <v>39</v>
      </c>
      <c r="K31" s="63">
        <v>10</v>
      </c>
      <c r="L31" s="31">
        <v>10</v>
      </c>
      <c r="M31" s="32">
        <v>10</v>
      </c>
      <c r="N31" s="32">
        <v>10</v>
      </c>
      <c r="O31" s="32">
        <v>10</v>
      </c>
      <c r="P31" s="33">
        <v>10</v>
      </c>
      <c r="Q31" s="33" t="s">
        <v>39</v>
      </c>
      <c r="R31" s="32">
        <v>10</v>
      </c>
      <c r="S31" s="35"/>
      <c r="T31" s="35"/>
      <c r="U31" s="35"/>
      <c r="V31" s="35"/>
      <c r="W31" s="36">
        <f t="shared" si="10"/>
        <v>130</v>
      </c>
      <c r="X31" s="37">
        <f>W31*X3</f>
        <v>130</v>
      </c>
      <c r="Y31" s="38">
        <f t="shared" si="11"/>
        <v>60</v>
      </c>
      <c r="Z31" s="39">
        <f>254+253+1290+253+1749+1638</f>
        <v>5437</v>
      </c>
      <c r="AA31" s="12">
        <v>35000</v>
      </c>
      <c r="AB31" s="6"/>
      <c r="AC31" s="12"/>
      <c r="AD31" s="1"/>
      <c r="AE31" s="13">
        <f t="shared" si="12"/>
        <v>35000</v>
      </c>
      <c r="AF31" s="6"/>
      <c r="AG31">
        <f>X31*400</f>
        <v>52000</v>
      </c>
      <c r="AH31" s="40">
        <f t="shared" si="13"/>
        <v>110100</v>
      </c>
      <c r="AI31" s="80" t="s">
        <v>76</v>
      </c>
      <c r="AJ31" s="22" t="e">
        <f t="shared" ca="1" si="14"/>
        <v>#VALUE!</v>
      </c>
      <c r="AK31" s="42">
        <f t="shared" si="15"/>
        <v>2100</v>
      </c>
      <c r="AL31" s="23">
        <f t="shared" si="16"/>
        <v>21000</v>
      </c>
      <c r="AM31" s="43">
        <f t="shared" si="17"/>
        <v>6</v>
      </c>
      <c r="AN31" s="43">
        <f t="shared" si="18"/>
        <v>2</v>
      </c>
      <c r="AO31" s="43">
        <v>60</v>
      </c>
      <c r="AP31" s="2">
        <v>0</v>
      </c>
      <c r="AQ31" s="2">
        <v>1</v>
      </c>
      <c r="AR31" s="2">
        <v>0</v>
      </c>
      <c r="AS31" s="2">
        <v>1</v>
      </c>
      <c r="AT31" s="2">
        <v>0</v>
      </c>
      <c r="AU31">
        <v>0</v>
      </c>
    </row>
    <row r="32" ht="16.5">
      <c r="A32" s="1">
        <v>5098368147</v>
      </c>
      <c r="B32" t="s">
        <v>77</v>
      </c>
      <c r="C32" s="7" t="s">
        <v>38</v>
      </c>
      <c r="D32" s="32">
        <v>10</v>
      </c>
      <c r="E32" s="32">
        <v>10</v>
      </c>
      <c r="F32" s="32">
        <v>10</v>
      </c>
      <c r="G32" s="32">
        <v>10</v>
      </c>
      <c r="H32" s="32">
        <v>10</v>
      </c>
      <c r="I32" s="52">
        <v>8</v>
      </c>
      <c r="J32" s="52" t="s">
        <v>39</v>
      </c>
      <c r="K32" s="32">
        <v>8</v>
      </c>
      <c r="L32" s="32">
        <v>8</v>
      </c>
      <c r="M32" s="32">
        <v>10</v>
      </c>
      <c r="N32" s="32">
        <v>8</v>
      </c>
      <c r="O32" s="32">
        <v>8</v>
      </c>
      <c r="P32" s="52">
        <v>8</v>
      </c>
      <c r="Q32" s="52">
        <v>15</v>
      </c>
      <c r="R32" s="28">
        <v>10</v>
      </c>
      <c r="S32" s="34"/>
      <c r="T32" s="34"/>
      <c r="U32" s="34"/>
      <c r="V32" s="35"/>
      <c r="W32" s="36">
        <f t="shared" si="10"/>
        <v>133</v>
      </c>
      <c r="X32" s="37">
        <f>W32*X3</f>
        <v>133</v>
      </c>
      <c r="Y32" s="38">
        <f t="shared" si="11"/>
        <v>60</v>
      </c>
      <c r="Z32" s="39"/>
      <c r="AA32" s="12">
        <v>7500</v>
      </c>
      <c r="AB32" s="6">
        <v>7500</v>
      </c>
      <c r="AC32" s="12">
        <v>7500</v>
      </c>
      <c r="AD32" s="1"/>
      <c r="AE32" s="13">
        <f t="shared" si="12"/>
        <v>22500</v>
      </c>
      <c r="AF32" s="6"/>
      <c r="AG32">
        <f t="shared" ref="AG32:AG41" si="20">X32*350</f>
        <v>46550</v>
      </c>
      <c r="AH32" s="40">
        <f t="shared" si="13"/>
        <v>83900</v>
      </c>
      <c r="AI32" s="80" t="s">
        <v>76</v>
      </c>
      <c r="AJ32" s="22" t="e">
        <f t="shared" ca="1" si="14"/>
        <v>#VALUE!</v>
      </c>
      <c r="AK32" s="42">
        <f t="shared" si="15"/>
        <v>1350</v>
      </c>
      <c r="AL32" s="23">
        <f t="shared" si="16"/>
        <v>13500</v>
      </c>
      <c r="AM32" s="43">
        <f t="shared" si="17"/>
        <v>6</v>
      </c>
      <c r="AN32" s="43">
        <f t="shared" si="18"/>
        <v>2</v>
      </c>
      <c r="AO32" s="43">
        <v>60</v>
      </c>
      <c r="AP32" s="2">
        <v>0</v>
      </c>
      <c r="AQ32" s="2">
        <v>1</v>
      </c>
      <c r="AR32" s="2">
        <v>0</v>
      </c>
      <c r="AS32" s="2">
        <v>1</v>
      </c>
      <c r="AT32" s="2">
        <v>0</v>
      </c>
      <c r="AU32" s="7">
        <v>0</v>
      </c>
    </row>
    <row r="33">
      <c r="A33" s="1">
        <v>974556201</v>
      </c>
      <c r="B33" s="90" t="s">
        <v>78</v>
      </c>
      <c r="C33" t="s">
        <v>38</v>
      </c>
      <c r="D33" s="28">
        <v>12</v>
      </c>
      <c r="E33" s="28">
        <v>12</v>
      </c>
      <c r="F33" s="28">
        <v>12</v>
      </c>
      <c r="G33" s="28">
        <v>12</v>
      </c>
      <c r="H33" s="28">
        <v>12</v>
      </c>
      <c r="I33" s="62" t="s">
        <v>39</v>
      </c>
      <c r="J33" s="62" t="s">
        <v>39</v>
      </c>
      <c r="K33" s="28">
        <v>10</v>
      </c>
      <c r="L33" s="31">
        <v>10</v>
      </c>
      <c r="M33" s="32">
        <v>10</v>
      </c>
      <c r="N33" s="32">
        <v>10</v>
      </c>
      <c r="O33" s="32">
        <v>10</v>
      </c>
      <c r="P33" s="33">
        <v>10</v>
      </c>
      <c r="Q33" s="33" t="s">
        <v>39</v>
      </c>
      <c r="R33" s="32" t="s">
        <v>39</v>
      </c>
      <c r="S33" s="34"/>
      <c r="T33" s="34"/>
      <c r="U33" s="34"/>
      <c r="V33" s="35"/>
      <c r="W33" s="36">
        <f t="shared" si="10"/>
        <v>120</v>
      </c>
      <c r="X33" s="37">
        <f>W33*X3</f>
        <v>120</v>
      </c>
      <c r="Y33" s="38">
        <f t="shared" si="11"/>
        <v>40</v>
      </c>
      <c r="Z33" s="39"/>
      <c r="AA33" s="12">
        <v>7500</v>
      </c>
      <c r="AB33" s="6">
        <v>7500</v>
      </c>
      <c r="AC33" s="12">
        <v>7500</v>
      </c>
      <c r="AD33" s="1"/>
      <c r="AE33" s="13">
        <f t="shared" si="12"/>
        <v>22500</v>
      </c>
      <c r="AF33" s="6">
        <v>7500</v>
      </c>
      <c r="AG33">
        <f t="shared" si="20"/>
        <v>42000</v>
      </c>
      <c r="AH33" s="40">
        <f t="shared" si="13"/>
        <v>81675</v>
      </c>
      <c r="AI33" s="80" t="s">
        <v>79</v>
      </c>
      <c r="AJ33" s="22" t="e">
        <f t="shared" ca="1" si="14"/>
        <v>#VALUE!</v>
      </c>
      <c r="AK33" s="42">
        <f t="shared" si="15"/>
        <v>675</v>
      </c>
      <c r="AL33" s="23">
        <f t="shared" si="16"/>
        <v>9000</v>
      </c>
      <c r="AM33" s="43">
        <f t="shared" si="17"/>
        <v>3</v>
      </c>
      <c r="AN33" s="43">
        <f t="shared" si="18"/>
        <v>1</v>
      </c>
      <c r="AO33" s="44">
        <v>40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7">
        <v>1</v>
      </c>
    </row>
    <row r="34">
      <c r="A34" s="1"/>
      <c r="C34" s="7"/>
      <c r="D34" s="28"/>
      <c r="E34" s="28"/>
      <c r="F34" s="28"/>
      <c r="G34" s="28"/>
      <c r="H34" s="28"/>
      <c r="I34" s="62"/>
      <c r="J34" s="62"/>
      <c r="K34" s="30"/>
      <c r="L34" s="30"/>
      <c r="M34" s="30"/>
      <c r="N34" s="30"/>
      <c r="O34" s="30"/>
      <c r="P34" s="29"/>
      <c r="Q34" s="29"/>
      <c r="R34" s="30"/>
      <c r="S34" s="35"/>
      <c r="T34" s="35"/>
      <c r="U34" s="35"/>
      <c r="V34" s="35"/>
      <c r="W34" s="36"/>
      <c r="X34" s="37"/>
      <c r="Y34" s="38"/>
      <c r="Z34" s="39"/>
      <c r="AA34" s="12"/>
      <c r="AB34" s="6"/>
      <c r="AC34" s="12"/>
      <c r="AD34" s="1"/>
      <c r="AE34" s="13"/>
      <c r="AF34" s="6"/>
      <c r="AH34" s="40"/>
      <c r="AI34" s="80"/>
      <c r="AJ34" s="22"/>
      <c r="AK34" s="42"/>
      <c r="AL34" s="23"/>
      <c r="AM34" s="43"/>
      <c r="AN34" s="43"/>
      <c r="AO34" s="44"/>
      <c r="AP34" s="2"/>
      <c r="AQ34" s="2"/>
      <c r="AR34" s="2"/>
      <c r="AS34" s="2"/>
      <c r="AT34" s="2"/>
      <c r="AU34" s="7"/>
    </row>
    <row r="35" ht="16.5">
      <c r="A35" s="1">
        <v>1657461343</v>
      </c>
      <c r="B35" s="90" t="s">
        <v>80</v>
      </c>
      <c r="C35" s="7" t="s">
        <v>38</v>
      </c>
      <c r="D35" s="28">
        <v>10</v>
      </c>
      <c r="E35" s="77">
        <v>10</v>
      </c>
      <c r="F35" s="78">
        <v>10</v>
      </c>
      <c r="G35" s="77">
        <v>10</v>
      </c>
      <c r="H35" s="78">
        <v>10</v>
      </c>
      <c r="I35" s="79">
        <v>10</v>
      </c>
      <c r="J35" s="64" t="s">
        <v>39</v>
      </c>
      <c r="K35" s="65">
        <v>10</v>
      </c>
      <c r="L35" s="31">
        <v>10</v>
      </c>
      <c r="M35" s="32">
        <v>10</v>
      </c>
      <c r="N35" s="32">
        <v>10</v>
      </c>
      <c r="O35" s="32">
        <v>10</v>
      </c>
      <c r="P35" s="33">
        <v>10</v>
      </c>
      <c r="Q35" s="33" t="s">
        <v>39</v>
      </c>
      <c r="R35" s="32">
        <v>10</v>
      </c>
      <c r="S35" s="34"/>
      <c r="T35" s="34"/>
      <c r="U35" s="34"/>
      <c r="V35" s="35"/>
      <c r="W35" s="36">
        <f t="shared" si="10"/>
        <v>130</v>
      </c>
      <c r="X35" s="37">
        <f>W35*X3</f>
        <v>130</v>
      </c>
      <c r="Y35" s="38">
        <f t="shared" si="11"/>
        <v>0</v>
      </c>
      <c r="Z35" s="39"/>
      <c r="AA35" s="12">
        <v>7500</v>
      </c>
      <c r="AB35" s="6">
        <v>7500</v>
      </c>
      <c r="AC35" s="12">
        <v>7500</v>
      </c>
      <c r="AD35" s="1"/>
      <c r="AE35" s="13">
        <f t="shared" si="12"/>
        <v>22500</v>
      </c>
      <c r="AF35" s="6"/>
      <c r="AG35">
        <f t="shared" si="20"/>
        <v>45500</v>
      </c>
      <c r="AH35" s="40">
        <f t="shared" si="13"/>
        <v>68000</v>
      </c>
      <c r="AI35" s="80" t="s">
        <v>81</v>
      </c>
      <c r="AJ35" s="22" t="e">
        <f t="shared" ca="1" si="14"/>
        <v>#VALUE!</v>
      </c>
      <c r="AK35" s="42">
        <f t="shared" si="15"/>
        <v>0</v>
      </c>
      <c r="AL35" s="23">
        <f t="shared" si="16"/>
        <v>0</v>
      </c>
      <c r="AM35" s="43">
        <f t="shared" si="17"/>
        <v>0</v>
      </c>
      <c r="AN35" s="43">
        <f t="shared" si="18"/>
        <v>0</v>
      </c>
      <c r="AO35" s="44"/>
      <c r="AP35" s="2"/>
      <c r="AQ35" s="2"/>
      <c r="AR35" s="2"/>
      <c r="AS35" s="2"/>
      <c r="AT35" s="2"/>
      <c r="AU35" s="7"/>
    </row>
    <row r="36">
      <c r="A36" s="1">
        <v>1266631076</v>
      </c>
      <c r="B36" t="s">
        <v>82</v>
      </c>
      <c r="C36" s="7" t="s">
        <v>38</v>
      </c>
      <c r="D36" s="28">
        <v>12</v>
      </c>
      <c r="E36" s="28">
        <v>12</v>
      </c>
      <c r="F36" s="28">
        <v>12</v>
      </c>
      <c r="G36" s="28" t="s">
        <v>39</v>
      </c>
      <c r="H36" s="28" t="s">
        <v>39</v>
      </c>
      <c r="I36" s="62" t="s">
        <v>39</v>
      </c>
      <c r="J36" s="62" t="s">
        <v>39</v>
      </c>
      <c r="K36" s="28">
        <v>10</v>
      </c>
      <c r="L36" s="31">
        <v>10</v>
      </c>
      <c r="M36" s="32">
        <v>10</v>
      </c>
      <c r="N36" s="32">
        <v>10</v>
      </c>
      <c r="O36" s="32">
        <v>10</v>
      </c>
      <c r="P36" s="33">
        <v>10</v>
      </c>
      <c r="Q36" s="33" t="s">
        <v>39</v>
      </c>
      <c r="R36" s="32">
        <v>10</v>
      </c>
      <c r="S36" s="34"/>
      <c r="T36" s="34"/>
      <c r="U36" s="34"/>
      <c r="V36" s="35"/>
      <c r="W36" s="36">
        <f t="shared" si="10"/>
        <v>106</v>
      </c>
      <c r="X36" s="37">
        <f>W36*X3</f>
        <v>106</v>
      </c>
      <c r="Y36" s="38">
        <f t="shared" si="11"/>
        <v>60</v>
      </c>
      <c r="Z36" s="39"/>
      <c r="AA36" s="12">
        <v>7500</v>
      </c>
      <c r="AB36" s="6">
        <v>7500</v>
      </c>
      <c r="AC36" s="12">
        <v>7500</v>
      </c>
      <c r="AD36" s="1"/>
      <c r="AE36" s="13">
        <f t="shared" si="12"/>
        <v>22500</v>
      </c>
      <c r="AF36" s="6">
        <v>7500</v>
      </c>
      <c r="AG36">
        <f t="shared" si="20"/>
        <v>37100</v>
      </c>
      <c r="AH36" s="40">
        <f t="shared" si="13"/>
        <v>81275</v>
      </c>
      <c r="AI36" s="80" t="s">
        <v>76</v>
      </c>
      <c r="AJ36" s="22" t="e">
        <f t="shared" ca="1" si="14"/>
        <v>#VALUE!</v>
      </c>
      <c r="AK36" s="42">
        <f t="shared" si="15"/>
        <v>675</v>
      </c>
      <c r="AL36" s="23">
        <f t="shared" si="16"/>
        <v>13500</v>
      </c>
      <c r="AM36" s="43">
        <f t="shared" si="17"/>
        <v>3</v>
      </c>
      <c r="AN36" s="43">
        <f t="shared" si="18"/>
        <v>1</v>
      </c>
      <c r="AO36" s="44">
        <v>60</v>
      </c>
      <c r="AP36" s="2">
        <v>0</v>
      </c>
      <c r="AQ36" s="2">
        <v>0</v>
      </c>
      <c r="AR36" s="2">
        <v>0</v>
      </c>
      <c r="AS36" s="2">
        <v>1</v>
      </c>
      <c r="AT36" s="2">
        <v>0</v>
      </c>
      <c r="AU36" s="7">
        <v>0</v>
      </c>
    </row>
    <row r="37">
      <c r="A37" s="1">
        <v>5133941808</v>
      </c>
      <c r="B37" s="90" t="s">
        <v>83</v>
      </c>
      <c r="C37" s="7" t="s">
        <v>38</v>
      </c>
      <c r="D37" s="28">
        <v>10</v>
      </c>
      <c r="E37" s="77">
        <v>10</v>
      </c>
      <c r="F37" s="78">
        <v>10</v>
      </c>
      <c r="G37" s="77">
        <v>10</v>
      </c>
      <c r="H37" s="78">
        <v>10</v>
      </c>
      <c r="I37" s="79">
        <v>10</v>
      </c>
      <c r="J37" s="64" t="s">
        <v>39</v>
      </c>
      <c r="K37" s="65">
        <v>10</v>
      </c>
      <c r="L37" s="31">
        <v>10</v>
      </c>
      <c r="M37" s="32">
        <v>10</v>
      </c>
      <c r="N37" s="32">
        <v>10</v>
      </c>
      <c r="O37" s="32">
        <v>10</v>
      </c>
      <c r="P37" s="33">
        <v>10</v>
      </c>
      <c r="Q37" s="33" t="s">
        <v>39</v>
      </c>
      <c r="R37" s="32">
        <v>10</v>
      </c>
      <c r="S37" s="34"/>
      <c r="T37" s="34"/>
      <c r="U37" s="34"/>
      <c r="V37" s="35"/>
      <c r="W37" s="36">
        <f t="shared" si="10"/>
        <v>130</v>
      </c>
      <c r="X37" s="37">
        <f>W37*X3</f>
        <v>130</v>
      </c>
      <c r="Y37" s="38">
        <f t="shared" si="11"/>
        <v>0</v>
      </c>
      <c r="Z37" s="53">
        <f>815+4799+2631.02</f>
        <v>8245.0200000000004</v>
      </c>
      <c r="AA37" s="12">
        <v>7500</v>
      </c>
      <c r="AB37" s="6">
        <v>7500</v>
      </c>
      <c r="AC37" s="12">
        <v>7500</v>
      </c>
      <c r="AD37" s="1"/>
      <c r="AE37" s="13">
        <f t="shared" si="12"/>
        <v>22500</v>
      </c>
      <c r="AF37" s="6"/>
      <c r="AG37" s="7">
        <f>X37*400</f>
        <v>52000</v>
      </c>
      <c r="AH37" s="40">
        <f t="shared" si="13"/>
        <v>74500</v>
      </c>
      <c r="AI37" s="80" t="s">
        <v>84</v>
      </c>
      <c r="AJ37" s="22" t="e">
        <f t="shared" ca="1" si="14"/>
        <v>#VALUE!</v>
      </c>
      <c r="AK37" s="42">
        <f t="shared" si="15"/>
        <v>0</v>
      </c>
      <c r="AL37" s="23">
        <f t="shared" si="16"/>
        <v>0</v>
      </c>
      <c r="AM37" s="43">
        <f t="shared" si="17"/>
        <v>0</v>
      </c>
      <c r="AN37" s="43">
        <f t="shared" si="18"/>
        <v>0</v>
      </c>
      <c r="AO37" s="44"/>
      <c r="AP37" s="2"/>
      <c r="AQ37" s="2"/>
      <c r="AR37" s="2"/>
      <c r="AS37" s="2"/>
      <c r="AT37" s="2"/>
      <c r="AU37" s="7"/>
    </row>
    <row r="38" ht="16.5">
      <c r="A38" s="1">
        <v>6323454714</v>
      </c>
      <c r="B38" s="91" t="s">
        <v>85</v>
      </c>
      <c r="C38" s="7" t="s">
        <v>38</v>
      </c>
      <c r="D38" s="28" t="s">
        <v>55</v>
      </c>
      <c r="E38" s="28" t="s">
        <v>55</v>
      </c>
      <c r="F38" s="28" t="s">
        <v>55</v>
      </c>
      <c r="G38" s="28" t="s">
        <v>55</v>
      </c>
      <c r="H38" s="28" t="s">
        <v>55</v>
      </c>
      <c r="I38" s="62" t="s">
        <v>55</v>
      </c>
      <c r="J38" s="62" t="s">
        <v>55</v>
      </c>
      <c r="K38" s="30" t="s">
        <v>55</v>
      </c>
      <c r="L38" s="28" t="s">
        <v>55</v>
      </c>
      <c r="M38" s="28" t="s">
        <v>55</v>
      </c>
      <c r="N38" s="28" t="s">
        <v>55</v>
      </c>
      <c r="O38" s="28" t="s">
        <v>55</v>
      </c>
      <c r="P38" s="62" t="s">
        <v>55</v>
      </c>
      <c r="Q38" s="62" t="s">
        <v>55</v>
      </c>
      <c r="R38" s="30" t="s">
        <v>55</v>
      </c>
      <c r="S38" s="35"/>
      <c r="T38" s="35"/>
      <c r="U38" s="35"/>
      <c r="V38" s="35"/>
      <c r="W38" s="36">
        <f t="shared" si="10"/>
        <v>0</v>
      </c>
      <c r="X38" s="37">
        <f>W38*X3</f>
        <v>0</v>
      </c>
      <c r="Y38" s="38">
        <f t="shared" si="11"/>
        <v>0</v>
      </c>
      <c r="Z38" s="53">
        <f>14408</f>
        <v>14408</v>
      </c>
      <c r="AA38" s="12"/>
      <c r="AB38" s="6"/>
      <c r="AC38" s="12"/>
      <c r="AD38" s="1"/>
      <c r="AE38" s="13">
        <f t="shared" si="12"/>
        <v>0</v>
      </c>
      <c r="AF38" s="6"/>
      <c r="AG38" s="7">
        <f t="shared" si="20"/>
        <v>0</v>
      </c>
      <c r="AH38" s="40">
        <f t="shared" si="13"/>
        <v>0</v>
      </c>
      <c r="AI38" s="80" t="s">
        <v>84</v>
      </c>
      <c r="AJ38" s="22" t="e">
        <f t="shared" ca="1" si="14"/>
        <v>#VALUE!</v>
      </c>
      <c r="AK38" s="42">
        <f t="shared" si="15"/>
        <v>0</v>
      </c>
      <c r="AL38" s="23">
        <f t="shared" si="16"/>
        <v>0</v>
      </c>
      <c r="AM38" s="43">
        <f t="shared" si="17"/>
        <v>0</v>
      </c>
      <c r="AN38" s="43">
        <f t="shared" si="18"/>
        <v>0</v>
      </c>
      <c r="AO38" s="44"/>
      <c r="AP38" s="2"/>
      <c r="AQ38" s="2"/>
      <c r="AR38" s="2"/>
      <c r="AS38" s="2"/>
      <c r="AT38" s="2"/>
      <c r="AU38" s="7"/>
    </row>
    <row r="39" ht="16.5">
      <c r="A39" s="1">
        <v>5420059320</v>
      </c>
      <c r="B39" s="7" t="s">
        <v>86</v>
      </c>
      <c r="C39" s="7" t="s">
        <v>38</v>
      </c>
      <c r="D39" s="28" t="s">
        <v>55</v>
      </c>
      <c r="E39" s="78" t="s">
        <v>55</v>
      </c>
      <c r="F39" s="28" t="s">
        <v>55</v>
      </c>
      <c r="G39" s="78" t="s">
        <v>55</v>
      </c>
      <c r="H39" s="28" t="s">
        <v>55</v>
      </c>
      <c r="I39" s="64" t="s">
        <v>55</v>
      </c>
      <c r="J39" s="62" t="s">
        <v>55</v>
      </c>
      <c r="K39" s="63" t="s">
        <v>55</v>
      </c>
      <c r="L39" s="28" t="s">
        <v>55</v>
      </c>
      <c r="M39" s="28" t="s">
        <v>55</v>
      </c>
      <c r="N39" s="28" t="s">
        <v>55</v>
      </c>
      <c r="O39" s="28" t="s">
        <v>55</v>
      </c>
      <c r="P39" s="62" t="s">
        <v>55</v>
      </c>
      <c r="Q39" s="62" t="s">
        <v>55</v>
      </c>
      <c r="R39" s="30" t="s">
        <v>55</v>
      </c>
      <c r="S39" s="35"/>
      <c r="T39" s="35"/>
      <c r="U39" s="35"/>
      <c r="V39" s="35"/>
      <c r="W39" s="36">
        <f t="shared" si="10"/>
        <v>0</v>
      </c>
      <c r="X39" s="37">
        <f>W39*X3</f>
        <v>0</v>
      </c>
      <c r="Y39" s="38">
        <f t="shared" si="11"/>
        <v>50</v>
      </c>
      <c r="Z39" s="39">
        <f>10288.2</f>
        <v>10288.200000000001</v>
      </c>
      <c r="AA39" s="12"/>
      <c r="AB39" s="6"/>
      <c r="AC39" s="12"/>
      <c r="AD39" s="1"/>
      <c r="AE39" s="13">
        <f t="shared" si="12"/>
        <v>0</v>
      </c>
      <c r="AF39" s="6"/>
      <c r="AG39" s="7">
        <f t="shared" si="20"/>
        <v>0</v>
      </c>
      <c r="AH39" s="40">
        <f t="shared" si="13"/>
        <v>0</v>
      </c>
      <c r="AI39" s="80" t="s">
        <v>87</v>
      </c>
      <c r="AJ39" s="22" t="e">
        <f t="shared" ca="1" si="14"/>
        <v>#VALUE!</v>
      </c>
      <c r="AK39" s="42">
        <f t="shared" si="15"/>
        <v>0</v>
      </c>
      <c r="AL39" s="23">
        <f t="shared" si="16"/>
        <v>0</v>
      </c>
      <c r="AM39" s="43">
        <f t="shared" si="17"/>
        <v>9</v>
      </c>
      <c r="AN39" s="43">
        <f t="shared" si="18"/>
        <v>3</v>
      </c>
      <c r="AO39" s="44">
        <v>50</v>
      </c>
      <c r="AP39" s="2">
        <v>0</v>
      </c>
      <c r="AQ39" s="2">
        <v>0</v>
      </c>
      <c r="AR39" s="2">
        <v>0</v>
      </c>
      <c r="AS39" s="2">
        <v>1</v>
      </c>
      <c r="AT39" s="2">
        <v>1</v>
      </c>
      <c r="AU39">
        <v>1</v>
      </c>
    </row>
    <row r="40">
      <c r="A40" s="1">
        <v>1010227764</v>
      </c>
      <c r="B40" s="7" t="s">
        <v>88</v>
      </c>
      <c r="C40" s="7" t="s">
        <v>38</v>
      </c>
      <c r="D40" s="28">
        <v>12</v>
      </c>
      <c r="E40" s="28">
        <v>12</v>
      </c>
      <c r="F40" s="28">
        <v>12</v>
      </c>
      <c r="G40" s="28">
        <v>12</v>
      </c>
      <c r="H40" s="28" t="s">
        <v>39</v>
      </c>
      <c r="I40" s="62" t="s">
        <v>39</v>
      </c>
      <c r="J40" s="62" t="s">
        <v>39</v>
      </c>
      <c r="K40" s="28">
        <v>10</v>
      </c>
      <c r="L40" s="31">
        <v>10</v>
      </c>
      <c r="M40" s="32">
        <v>10</v>
      </c>
      <c r="N40" s="32">
        <v>10</v>
      </c>
      <c r="O40" s="32">
        <v>10</v>
      </c>
      <c r="P40" s="33">
        <v>10</v>
      </c>
      <c r="Q40" s="33" t="s">
        <v>39</v>
      </c>
      <c r="R40" s="32">
        <v>10</v>
      </c>
      <c r="S40" s="34"/>
      <c r="T40" s="34"/>
      <c r="U40" s="34"/>
      <c r="V40" s="35"/>
      <c r="W40" s="36">
        <f t="shared" si="10"/>
        <v>118</v>
      </c>
      <c r="X40" s="37">
        <f>W40*X3</f>
        <v>118</v>
      </c>
      <c r="Y40" s="38">
        <f t="shared" si="11"/>
        <v>0</v>
      </c>
      <c r="Z40" s="53"/>
      <c r="AA40" s="12">
        <v>7500</v>
      </c>
      <c r="AB40" s="6">
        <v>7500</v>
      </c>
      <c r="AC40" s="12">
        <v>7500</v>
      </c>
      <c r="AD40" s="1"/>
      <c r="AE40" s="13">
        <f t="shared" si="12"/>
        <v>22500</v>
      </c>
      <c r="AF40" s="6"/>
      <c r="AG40" s="7">
        <f t="shared" si="20"/>
        <v>41300</v>
      </c>
      <c r="AH40" s="40">
        <f t="shared" si="13"/>
        <v>63800</v>
      </c>
      <c r="AI40" s="80" t="s">
        <v>89</v>
      </c>
      <c r="AJ40" s="22" t="e">
        <f t="shared" ca="1" si="14"/>
        <v>#VALUE!</v>
      </c>
      <c r="AK40" s="42">
        <f t="shared" si="15"/>
        <v>0</v>
      </c>
      <c r="AL40" s="23">
        <f t="shared" si="16"/>
        <v>0</v>
      </c>
      <c r="AM40" s="43">
        <f t="shared" si="17"/>
        <v>0</v>
      </c>
      <c r="AN40" s="43">
        <f t="shared" si="18"/>
        <v>0</v>
      </c>
      <c r="AO40" s="44"/>
      <c r="AP40" s="2"/>
      <c r="AQ40" s="2"/>
      <c r="AR40" s="2"/>
      <c r="AS40" s="2"/>
      <c r="AT40" s="2"/>
    </row>
    <row r="41">
      <c r="A41" s="1">
        <v>1124003178</v>
      </c>
      <c r="B41" s="7" t="s">
        <v>90</v>
      </c>
      <c r="C41" s="7" t="s">
        <v>91</v>
      </c>
      <c r="D41" s="28">
        <v>12</v>
      </c>
      <c r="E41" s="28">
        <v>12</v>
      </c>
      <c r="F41" s="28">
        <v>12</v>
      </c>
      <c r="G41" s="28">
        <v>12</v>
      </c>
      <c r="H41" s="28">
        <v>12</v>
      </c>
      <c r="I41" s="62" t="s">
        <v>39</v>
      </c>
      <c r="J41" s="62" t="s">
        <v>39</v>
      </c>
      <c r="K41" s="28">
        <v>10</v>
      </c>
      <c r="L41" s="31">
        <v>10</v>
      </c>
      <c r="M41" s="32">
        <v>10</v>
      </c>
      <c r="N41" s="32">
        <v>10</v>
      </c>
      <c r="O41" s="32">
        <v>10</v>
      </c>
      <c r="P41" s="33">
        <v>10</v>
      </c>
      <c r="Q41" s="33" t="s">
        <v>39</v>
      </c>
      <c r="R41" s="32">
        <v>10</v>
      </c>
      <c r="S41" s="34"/>
      <c r="T41" s="34"/>
      <c r="U41" s="34"/>
      <c r="V41" s="35"/>
      <c r="W41" s="36">
        <f t="shared" si="10"/>
        <v>130</v>
      </c>
      <c r="X41" s="37">
        <f>W41*X3</f>
        <v>130</v>
      </c>
      <c r="Y41" s="38">
        <f t="shared" si="11"/>
        <v>50</v>
      </c>
      <c r="Z41" s="53"/>
      <c r="AA41" s="12">
        <v>10000</v>
      </c>
      <c r="AB41" s="6">
        <v>10000</v>
      </c>
      <c r="AC41" s="12">
        <v>10000</v>
      </c>
      <c r="AD41" s="1"/>
      <c r="AE41" s="13">
        <f t="shared" si="12"/>
        <v>30000</v>
      </c>
      <c r="AF41" s="6"/>
      <c r="AG41" s="7">
        <f t="shared" si="20"/>
        <v>45500</v>
      </c>
      <c r="AH41" s="40">
        <f t="shared" si="13"/>
        <v>90500</v>
      </c>
      <c r="AI41" s="80" t="s">
        <v>92</v>
      </c>
      <c r="AJ41" s="22" t="e">
        <f t="shared" ca="1" si="14"/>
        <v>#VALUE!</v>
      </c>
      <c r="AK41" s="42">
        <f t="shared" si="15"/>
        <v>0</v>
      </c>
      <c r="AL41" s="23">
        <f t="shared" si="16"/>
        <v>15000</v>
      </c>
      <c r="AM41" s="43">
        <f t="shared" si="17"/>
        <v>0</v>
      </c>
      <c r="AN41" s="43">
        <f t="shared" si="18"/>
        <v>0</v>
      </c>
      <c r="AO41" s="44">
        <v>50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>
        <v>0</v>
      </c>
    </row>
    <row r="42">
      <c r="A42" s="1">
        <v>1379802260</v>
      </c>
      <c r="B42" s="7" t="s">
        <v>93</v>
      </c>
      <c r="C42" s="7" t="s">
        <v>38</v>
      </c>
      <c r="D42" s="28">
        <v>10</v>
      </c>
      <c r="E42" s="77">
        <v>10</v>
      </c>
      <c r="F42" s="78">
        <v>10</v>
      </c>
      <c r="G42" s="77">
        <v>10</v>
      </c>
      <c r="H42" s="78">
        <v>10</v>
      </c>
      <c r="I42" s="79">
        <v>10</v>
      </c>
      <c r="J42" s="64" t="s">
        <v>39</v>
      </c>
      <c r="K42" s="65">
        <v>10</v>
      </c>
      <c r="L42" s="31">
        <v>10</v>
      </c>
      <c r="M42" s="32">
        <v>10</v>
      </c>
      <c r="N42" s="32">
        <v>10</v>
      </c>
      <c r="O42" s="32">
        <v>10</v>
      </c>
      <c r="P42" s="33">
        <v>10</v>
      </c>
      <c r="Q42" s="33" t="s">
        <v>39</v>
      </c>
      <c r="R42" s="32">
        <v>10</v>
      </c>
      <c r="S42" s="34"/>
      <c r="T42" s="34"/>
      <c r="U42" s="34"/>
      <c r="V42" s="35"/>
      <c r="W42" s="36">
        <f t="shared" si="10"/>
        <v>130</v>
      </c>
      <c r="X42" s="37">
        <f>W42*X3</f>
        <v>130</v>
      </c>
      <c r="Y42" s="38">
        <f t="shared" si="11"/>
        <v>40</v>
      </c>
      <c r="Z42" s="53">
        <f>14999.67+13654</f>
        <v>28653.669999999998</v>
      </c>
      <c r="AA42" s="12">
        <v>7500</v>
      </c>
      <c r="AB42" s="6">
        <v>7500</v>
      </c>
      <c r="AC42" s="12">
        <v>7500</v>
      </c>
      <c r="AD42" s="1"/>
      <c r="AE42" s="13">
        <f t="shared" si="12"/>
        <v>22500</v>
      </c>
      <c r="AF42" s="6"/>
      <c r="AG42" s="7">
        <f>X42*400</f>
        <v>52000</v>
      </c>
      <c r="AH42" s="40">
        <f t="shared" si="13"/>
        <v>83500</v>
      </c>
      <c r="AI42" s="80" t="s">
        <v>94</v>
      </c>
      <c r="AJ42" s="22" t="e">
        <f t="shared" ca="1" si="14"/>
        <v>#VALUE!</v>
      </c>
      <c r="AK42" s="42">
        <f t="shared" si="15"/>
        <v>0</v>
      </c>
      <c r="AL42" s="23">
        <f t="shared" si="16"/>
        <v>9000</v>
      </c>
      <c r="AM42" s="43">
        <f t="shared" si="17"/>
        <v>0</v>
      </c>
      <c r="AN42" s="43">
        <f t="shared" si="18"/>
        <v>0</v>
      </c>
      <c r="AO42" s="44">
        <v>40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>
        <v>0</v>
      </c>
    </row>
    <row r="43" ht="16.5">
      <c r="A43" s="1">
        <v>6744329068</v>
      </c>
      <c r="B43" s="7" t="s">
        <v>95</v>
      </c>
      <c r="C43" s="7" t="s">
        <v>38</v>
      </c>
      <c r="D43" s="28"/>
      <c r="E43" s="28"/>
      <c r="F43" s="28"/>
      <c r="G43" s="28"/>
      <c r="H43" s="28"/>
      <c r="I43" s="62"/>
      <c r="J43" s="62"/>
      <c r="K43" s="30"/>
      <c r="L43" s="30"/>
      <c r="M43" s="30"/>
      <c r="N43" s="30"/>
      <c r="O43" s="30"/>
      <c r="P43" s="29"/>
      <c r="Q43" s="29"/>
      <c r="R43" s="30"/>
      <c r="S43" s="35"/>
      <c r="T43" s="35"/>
      <c r="U43" s="35"/>
      <c r="V43" s="35"/>
      <c r="W43" s="36">
        <f t="shared" si="10"/>
        <v>0</v>
      </c>
      <c r="X43" s="37">
        <f>W43*X3</f>
        <v>0</v>
      </c>
      <c r="Y43" s="38">
        <f t="shared" si="11"/>
        <v>40</v>
      </c>
      <c r="Z43" s="39">
        <v>7654</v>
      </c>
      <c r="AA43" s="12"/>
      <c r="AB43" s="6"/>
      <c r="AC43" s="12"/>
      <c r="AD43" s="1"/>
      <c r="AE43" s="13">
        <f t="shared" si="12"/>
        <v>0</v>
      </c>
      <c r="AF43" s="6"/>
      <c r="AG43" s="7">
        <f>X43*350</f>
        <v>0</v>
      </c>
      <c r="AH43" s="40">
        <f t="shared" si="13"/>
        <v>0</v>
      </c>
      <c r="AI43" s="80" t="s">
        <v>94</v>
      </c>
      <c r="AJ43" s="22" t="e">
        <f t="shared" ca="1" si="14"/>
        <v>#VALUE!</v>
      </c>
      <c r="AK43" s="42">
        <f t="shared" si="15"/>
        <v>0</v>
      </c>
      <c r="AL43" s="23">
        <f t="shared" si="16"/>
        <v>0</v>
      </c>
      <c r="AM43" s="43">
        <f t="shared" si="17"/>
        <v>0</v>
      </c>
      <c r="AN43" s="43">
        <f t="shared" si="18"/>
        <v>0</v>
      </c>
      <c r="AO43" s="44">
        <v>40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7">
        <v>0</v>
      </c>
    </row>
    <row r="44">
      <c r="A44" s="1"/>
      <c r="B44" s="92" t="s">
        <v>96</v>
      </c>
      <c r="C44" s="92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35"/>
      <c r="T44" s="35"/>
      <c r="U44" s="35"/>
      <c r="V44" s="35"/>
      <c r="W44" s="94"/>
      <c r="X44" s="95"/>
      <c r="Y44" s="95"/>
      <c r="Z44" s="92"/>
      <c r="AA44" s="92"/>
      <c r="AB44" s="92"/>
      <c r="AC44" s="92"/>
      <c r="AD44" s="92"/>
      <c r="AE44" s="92"/>
      <c r="AF44" s="92"/>
      <c r="AG44" s="92"/>
      <c r="AH44" s="96"/>
      <c r="AI44" s="92"/>
      <c r="AJ44" s="92"/>
      <c r="AK44" s="92"/>
      <c r="AL44" s="97"/>
      <c r="AM44" s="98"/>
      <c r="AN44" s="98"/>
      <c r="AO44" s="98"/>
      <c r="AP44" s="98"/>
      <c r="AQ44" s="98"/>
      <c r="AR44" s="98"/>
      <c r="AS44" s="98"/>
      <c r="AT44" s="98"/>
      <c r="AU44" s="98"/>
    </row>
    <row r="45">
      <c r="A45" s="1">
        <v>6121703553</v>
      </c>
      <c r="B45" s="7" t="s">
        <v>97</v>
      </c>
      <c r="C45" t="s">
        <v>98</v>
      </c>
      <c r="D45" s="28">
        <v>10</v>
      </c>
      <c r="E45" s="28">
        <v>10</v>
      </c>
      <c r="F45" s="28">
        <v>10</v>
      </c>
      <c r="G45" s="28">
        <v>10</v>
      </c>
      <c r="H45" s="28">
        <v>10</v>
      </c>
      <c r="I45" s="29">
        <v>10</v>
      </c>
      <c r="J45" s="29">
        <v>10</v>
      </c>
      <c r="K45" s="30">
        <v>10</v>
      </c>
      <c r="L45" s="31">
        <v>10</v>
      </c>
      <c r="M45" s="32">
        <v>10</v>
      </c>
      <c r="N45" s="32">
        <v>10</v>
      </c>
      <c r="O45" s="32">
        <v>10</v>
      </c>
      <c r="P45" s="33">
        <v>10</v>
      </c>
      <c r="Q45" s="33" t="s">
        <v>39</v>
      </c>
      <c r="R45" s="32">
        <v>10</v>
      </c>
      <c r="S45" s="34"/>
      <c r="T45" s="34"/>
      <c r="U45" s="34"/>
      <c r="V45" s="35"/>
      <c r="W45" s="36">
        <f t="shared" si="10"/>
        <v>140</v>
      </c>
      <c r="X45" s="37">
        <f>W45*X3</f>
        <v>140</v>
      </c>
      <c r="Y45" s="38">
        <f t="shared" si="11"/>
        <v>65</v>
      </c>
      <c r="Z45" s="39">
        <f>17995+14853+5206+1000</f>
        <v>39054</v>
      </c>
      <c r="AA45" s="12">
        <v>50000</v>
      </c>
      <c r="AB45" s="6"/>
      <c r="AC45" s="12"/>
      <c r="AD45" s="1"/>
      <c r="AE45" s="13">
        <f t="shared" si="12"/>
        <v>50000</v>
      </c>
      <c r="AF45" s="6"/>
      <c r="AG45">
        <f>X45*400</f>
        <v>56000</v>
      </c>
      <c r="AH45" s="40">
        <f t="shared" si="13"/>
        <v>143500</v>
      </c>
      <c r="AI45" s="41" t="s">
        <v>99</v>
      </c>
      <c r="AJ45" s="22" t="e">
        <f t="shared" ca="1" si="14"/>
        <v>#VALUE!</v>
      </c>
      <c r="AK45" s="42">
        <f t="shared" si="15"/>
        <v>5000</v>
      </c>
      <c r="AL45" s="23">
        <f t="shared" si="16"/>
        <v>32500</v>
      </c>
      <c r="AM45" s="99">
        <f t="shared" ref="AM45:AM46" si="21">2*AN45</f>
        <v>10</v>
      </c>
      <c r="AN45" s="43">
        <f t="shared" si="18"/>
        <v>5</v>
      </c>
      <c r="AO45" s="100">
        <v>65</v>
      </c>
      <c r="AP45" s="2">
        <v>1</v>
      </c>
      <c r="AQ45" s="2">
        <v>1</v>
      </c>
      <c r="AR45" s="2">
        <v>1</v>
      </c>
      <c r="AS45" s="2">
        <v>1</v>
      </c>
      <c r="AT45" s="2">
        <v>0</v>
      </c>
      <c r="AU45" s="7">
        <v>1</v>
      </c>
    </row>
    <row r="46" ht="16.5">
      <c r="A46" s="1">
        <v>5451007664</v>
      </c>
      <c r="B46" s="7" t="s">
        <v>100</v>
      </c>
      <c r="C46" s="7" t="s">
        <v>98</v>
      </c>
      <c r="D46" s="32">
        <v>10</v>
      </c>
      <c r="E46" s="32">
        <v>10</v>
      </c>
      <c r="F46" s="32">
        <v>10</v>
      </c>
      <c r="G46" s="32">
        <v>10</v>
      </c>
      <c r="H46" s="32">
        <v>10</v>
      </c>
      <c r="I46" s="52">
        <v>8</v>
      </c>
      <c r="J46" s="52" t="s">
        <v>39</v>
      </c>
      <c r="K46" s="51">
        <v>8</v>
      </c>
      <c r="L46" s="51">
        <v>8</v>
      </c>
      <c r="M46" s="51">
        <v>10</v>
      </c>
      <c r="N46" s="51">
        <v>8</v>
      </c>
      <c r="O46" s="51">
        <v>8</v>
      </c>
      <c r="P46" s="52">
        <v>8</v>
      </c>
      <c r="Q46" s="52" t="s">
        <v>39</v>
      </c>
      <c r="R46" s="51">
        <v>10</v>
      </c>
      <c r="S46" s="35"/>
      <c r="T46" s="35"/>
      <c r="U46" s="35"/>
      <c r="V46" s="35"/>
      <c r="W46" s="36">
        <f t="shared" si="10"/>
        <v>118</v>
      </c>
      <c r="X46" s="37">
        <f>W46*X3</f>
        <v>118</v>
      </c>
      <c r="Y46" s="38">
        <f t="shared" si="11"/>
        <v>63</v>
      </c>
      <c r="Z46" s="39">
        <f>3146.55+1584+225</f>
        <v>4955.5500000000002</v>
      </c>
      <c r="AA46" s="12">
        <v>45000</v>
      </c>
      <c r="AB46" s="6"/>
      <c r="AC46" s="12"/>
      <c r="AD46" s="1"/>
      <c r="AE46" s="13">
        <f t="shared" si="12"/>
        <v>45000</v>
      </c>
      <c r="AF46" s="6"/>
      <c r="AG46">
        <f>X46*350</f>
        <v>41300</v>
      </c>
      <c r="AH46" s="40">
        <f t="shared" si="13"/>
        <v>118250</v>
      </c>
      <c r="AI46" s="41" t="s">
        <v>40</v>
      </c>
      <c r="AJ46" s="22" t="e">
        <f t="shared" ca="1" si="14"/>
        <v>#VALUE!</v>
      </c>
      <c r="AK46" s="42">
        <f t="shared" si="15"/>
        <v>3600</v>
      </c>
      <c r="AL46" s="23">
        <f t="shared" si="16"/>
        <v>28350</v>
      </c>
      <c r="AM46" s="43">
        <f t="shared" si="21"/>
        <v>8</v>
      </c>
      <c r="AN46" s="43">
        <f t="shared" si="18"/>
        <v>4</v>
      </c>
      <c r="AO46" s="44">
        <v>63</v>
      </c>
      <c r="AP46" s="2">
        <v>0</v>
      </c>
      <c r="AQ46" s="2">
        <v>1</v>
      </c>
      <c r="AR46" s="2">
        <v>0</v>
      </c>
      <c r="AS46" s="2">
        <v>1</v>
      </c>
      <c r="AT46" s="2">
        <v>1</v>
      </c>
      <c r="AU46">
        <v>1</v>
      </c>
    </row>
    <row r="47">
      <c r="A47" s="1">
        <v>1358717208</v>
      </c>
      <c r="B47" s="7" t="s">
        <v>101</v>
      </c>
      <c r="C47" s="7" t="s">
        <v>102</v>
      </c>
      <c r="D47" s="28">
        <v>12</v>
      </c>
      <c r="E47" s="28">
        <v>12</v>
      </c>
      <c r="F47" s="28">
        <v>12</v>
      </c>
      <c r="G47" s="28">
        <v>12</v>
      </c>
      <c r="H47" s="28" t="s">
        <v>39</v>
      </c>
      <c r="I47" s="62" t="s">
        <v>39</v>
      </c>
      <c r="J47" s="62" t="s">
        <v>39</v>
      </c>
      <c r="K47" s="28">
        <v>10</v>
      </c>
      <c r="L47" s="31">
        <v>10</v>
      </c>
      <c r="M47" s="32">
        <v>10</v>
      </c>
      <c r="N47" s="32">
        <v>10</v>
      </c>
      <c r="O47" s="32">
        <v>10</v>
      </c>
      <c r="P47" s="33">
        <v>10</v>
      </c>
      <c r="Q47" s="33" t="s">
        <v>39</v>
      </c>
      <c r="R47" s="32">
        <v>10</v>
      </c>
      <c r="S47" s="34"/>
      <c r="T47" s="34"/>
      <c r="U47" s="34"/>
      <c r="V47" s="35"/>
      <c r="W47" s="36">
        <f t="shared" si="10"/>
        <v>118</v>
      </c>
      <c r="X47" s="37">
        <f>W47*X3</f>
        <v>118</v>
      </c>
      <c r="Y47" s="38">
        <f t="shared" si="11"/>
        <v>63</v>
      </c>
      <c r="Z47" s="39">
        <f>1346+1942.75+1558+3367.99+3499.96+2787.54+4022.54+16113</f>
        <v>34637.779999999999</v>
      </c>
      <c r="AA47" s="12">
        <v>40000</v>
      </c>
      <c r="AB47" s="6"/>
      <c r="AC47" s="12"/>
      <c r="AD47" s="1"/>
      <c r="AE47" s="13">
        <f t="shared" si="12"/>
        <v>40000</v>
      </c>
      <c r="AF47" s="6"/>
      <c r="AG47" s="7">
        <f>X47*400</f>
        <v>47200</v>
      </c>
      <c r="AH47" s="40">
        <f t="shared" si="13"/>
        <v>117200</v>
      </c>
      <c r="AI47" s="41" t="s">
        <v>40</v>
      </c>
      <c r="AJ47" s="22" t="e">
        <f t="shared" ca="1" si="14"/>
        <v>#VALUE!</v>
      </c>
      <c r="AK47" s="42">
        <f t="shared" si="15"/>
        <v>4800</v>
      </c>
      <c r="AL47" s="7">
        <f t="shared" si="16"/>
        <v>25200</v>
      </c>
      <c r="AM47" s="43">
        <f>3*AN47</f>
        <v>12</v>
      </c>
      <c r="AN47" s="2">
        <f t="shared" si="18"/>
        <v>4</v>
      </c>
      <c r="AO47" s="44">
        <v>63</v>
      </c>
      <c r="AP47" s="2">
        <v>0</v>
      </c>
      <c r="AQ47" s="2">
        <v>1</v>
      </c>
      <c r="AR47" s="2">
        <v>0</v>
      </c>
      <c r="AS47" s="2">
        <v>1</v>
      </c>
      <c r="AT47" s="2">
        <v>1</v>
      </c>
      <c r="AU47" s="7">
        <v>1</v>
      </c>
    </row>
    <row r="48">
      <c r="A48" s="1">
        <v>350489896</v>
      </c>
      <c r="B48" t="s">
        <v>103</v>
      </c>
      <c r="C48" t="s">
        <v>104</v>
      </c>
      <c r="O48" s="2"/>
      <c r="P48" s="7"/>
      <c r="Q48" s="7"/>
      <c r="AC48" s="101"/>
      <c r="AD48" s="101"/>
      <c r="AE48" s="101"/>
      <c r="AF48" s="101"/>
      <c r="AG48" s="101"/>
      <c r="AH48" s="41"/>
      <c r="AI48" s="42"/>
      <c r="AJ48" s="42"/>
      <c r="AK48" s="3"/>
      <c r="AL48" s="3"/>
      <c r="AM48" s="3"/>
      <c r="AN48" s="3"/>
      <c r="AO48" s="3"/>
      <c r="AP48" s="102"/>
    </row>
    <row r="49">
      <c r="AA49" s="3"/>
      <c r="AB49" s="3"/>
      <c r="AC49" s="3"/>
      <c r="AD49" s="3"/>
      <c r="AE49" s="3"/>
      <c r="AF49" s="3"/>
      <c r="AG49" s="103" t="s">
        <v>105</v>
      </c>
      <c r="AH49" s="104">
        <f>SUM(AH6:AH47)+SUM(Z6:Z45)</f>
        <v>2578383.8300000001</v>
      </c>
      <c r="AI49" s="42"/>
      <c r="AJ49" s="42"/>
      <c r="AK49" s="3"/>
      <c r="AL49" s="3"/>
      <c r="AM49" s="3"/>
      <c r="AN49" s="3"/>
      <c r="AO49" s="3"/>
      <c r="AP49" s="102"/>
    </row>
    <row r="50">
      <c r="AC50" s="105"/>
      <c r="AD50" s="105"/>
      <c r="AE50" s="105"/>
      <c r="AF50" s="105"/>
      <c r="AG50" s="42"/>
      <c r="AH50" s="41"/>
      <c r="AI50" s="42"/>
      <c r="AJ50" s="42"/>
      <c r="AK50" s="3"/>
      <c r="AL50" s="3"/>
      <c r="AM50" s="3"/>
      <c r="AN50" s="3"/>
      <c r="AO50" s="3"/>
      <c r="AP50" s="102"/>
    </row>
    <row r="51">
      <c r="C51" s="3"/>
      <c r="AC51" s="105"/>
      <c r="AD51" s="105"/>
      <c r="AE51" s="105"/>
      <c r="AF51" s="105"/>
      <c r="AG51" s="106"/>
      <c r="AH51" s="41"/>
      <c r="AI51" s="42"/>
      <c r="AK51" s="3"/>
      <c r="AL51" s="3"/>
      <c r="AM51" s="3"/>
      <c r="AN51" s="3"/>
      <c r="AO51" s="3"/>
      <c r="AP51" s="102"/>
    </row>
    <row r="52">
      <c r="C52" s="3"/>
      <c r="AC52" s="102"/>
      <c r="AD52" s="42"/>
      <c r="AE52" s="42"/>
      <c r="AG52" s="42"/>
      <c r="AH52" s="41"/>
      <c r="AI52" s="42"/>
      <c r="AJ52" s="42"/>
      <c r="AK52" s="3"/>
      <c r="AL52" s="3"/>
      <c r="AM52" s="3"/>
      <c r="AN52" s="3"/>
      <c r="AO52" s="3"/>
      <c r="AP52" s="102"/>
    </row>
    <row r="53">
      <c r="C53" s="3"/>
      <c r="AC53" s="102"/>
      <c r="AD53" s="42"/>
      <c r="AE53" s="42"/>
      <c r="AG53" s="107"/>
      <c r="AH53" s="41"/>
      <c r="AI53" s="42"/>
      <c r="AJ53" s="42"/>
      <c r="AK53" s="3"/>
      <c r="AL53" s="3"/>
      <c r="AM53" s="3"/>
      <c r="AN53" s="3"/>
      <c r="AO53" s="3"/>
      <c r="AP53" s="102"/>
    </row>
    <row r="54">
      <c r="AD54" s="42"/>
      <c r="AE54" s="42"/>
      <c r="AG54" s="42"/>
      <c r="AH54" s="41"/>
      <c r="AI54" s="42"/>
      <c r="AJ54" s="42"/>
      <c r="AK54" s="3"/>
      <c r="AL54" s="3"/>
      <c r="AM54" s="3"/>
      <c r="AN54" s="3"/>
      <c r="AO54" s="3"/>
      <c r="AP54" s="102"/>
    </row>
    <row r="55">
      <c r="C55" s="3"/>
      <c r="D55" s="3"/>
      <c r="AD55" s="42"/>
      <c r="AE55" s="42"/>
      <c r="AG55" s="42"/>
      <c r="AH55" s="41"/>
      <c r="AI55" s="42"/>
      <c r="AJ55" s="42"/>
      <c r="AK55" s="3"/>
      <c r="AL55" s="3"/>
      <c r="AM55" s="3"/>
      <c r="AN55" s="3"/>
      <c r="AO55" s="3"/>
      <c r="AP55" s="102"/>
    </row>
    <row r="56">
      <c r="D56" s="3"/>
      <c r="AD56" s="42"/>
      <c r="AE56" s="42"/>
      <c r="AG56" s="42"/>
      <c r="AH56" s="41"/>
      <c r="AI56" s="42"/>
      <c r="AJ56" s="42"/>
      <c r="AK56" s="3"/>
      <c r="AL56" s="3"/>
      <c r="AM56" s="3"/>
      <c r="AN56" s="3"/>
      <c r="AO56" s="3"/>
      <c r="AP56" s="102"/>
    </row>
    <row r="57">
      <c r="C57" s="3"/>
      <c r="D57" s="3"/>
      <c r="AD57" s="42"/>
      <c r="AE57" s="42"/>
      <c r="AG57" s="42"/>
      <c r="AH57" s="41"/>
      <c r="AI57" s="42"/>
      <c r="AJ57" s="42"/>
      <c r="AK57" s="3"/>
      <c r="AL57" s="3"/>
      <c r="AM57" s="3"/>
      <c r="AN57" s="3"/>
      <c r="AO57" s="3"/>
      <c r="AP57" s="102"/>
    </row>
    <row r="58">
      <c r="C58" s="3"/>
      <c r="D58" s="3"/>
      <c r="AD58" s="42"/>
      <c r="AE58" s="42"/>
      <c r="AG58" s="42"/>
      <c r="AH58" s="41"/>
      <c r="AI58" s="42"/>
      <c r="AJ58" s="42"/>
      <c r="AK58" s="3"/>
      <c r="AL58" s="3"/>
      <c r="AM58" s="3"/>
      <c r="AN58" s="3"/>
      <c r="AO58" s="3"/>
      <c r="AP58" s="102"/>
    </row>
    <row r="59">
      <c r="C59" s="3"/>
      <c r="D59" s="3"/>
      <c r="AD59" s="42"/>
      <c r="AE59" s="42"/>
      <c r="AG59" s="42"/>
      <c r="AH59" s="41"/>
      <c r="AI59" s="42"/>
      <c r="AJ59" s="42"/>
      <c r="AK59" s="3"/>
      <c r="AL59" s="3"/>
      <c r="AM59" s="3"/>
      <c r="AN59" s="3"/>
      <c r="AO59" s="3"/>
      <c r="AP59" s="102"/>
    </row>
    <row r="60">
      <c r="C60" s="3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V60" s="2"/>
      <c r="W60" s="2"/>
      <c r="X60" s="3"/>
      <c r="Y60" s="3"/>
      <c r="Z60" s="3"/>
      <c r="AA60" s="3"/>
      <c r="AB60" s="3"/>
      <c r="AD60" s="42"/>
      <c r="AE60" s="42"/>
      <c r="AG60" s="42"/>
      <c r="AH60" s="41"/>
      <c r="AI60" s="42"/>
      <c r="AJ60" s="42"/>
      <c r="AK60" s="3"/>
      <c r="AL60" s="3"/>
      <c r="AM60" s="3"/>
      <c r="AN60" s="3"/>
      <c r="AO60" s="3"/>
      <c r="AP60" s="3"/>
    </row>
    <row r="61">
      <c r="C61" s="3"/>
      <c r="AG61" s="3"/>
      <c r="AI61" s="3"/>
      <c r="AJ61" s="3"/>
      <c r="AK61" s="3"/>
      <c r="AL61" s="3"/>
      <c r="AM61" s="3"/>
      <c r="AN61" s="3"/>
      <c r="AO61" s="3"/>
      <c r="AP61" s="3"/>
    </row>
    <row r="62"/>
    <row r="63"/>
    <row r="64"/>
    <row r="66"/>
    <row r="67"/>
    <row r="68"/>
    <row r="69">
      <c r="C69" s="3"/>
    </row>
    <row r="70">
      <c r="C70" s="3"/>
    </row>
    <row r="71">
      <c r="C71" s="3"/>
    </row>
    <row r="72"/>
    <row r="73">
      <c r="C73" s="3"/>
    </row>
    <row r="74">
      <c r="C74" s="3"/>
    </row>
    <row r="75">
      <c r="C75" s="3"/>
    </row>
    <row r="77">
      <c r="B77" s="108"/>
    </row>
    <row r="78"/>
    <row r="79"/>
    <row r="80"/>
    <row r="81"/>
    <row r="82"/>
    <row r="83"/>
    <row r="85">
      <c r="B85" s="108"/>
    </row>
    <row r="86">
      <c r="C86" s="3"/>
    </row>
    <row r="87">
      <c r="C87" s="3"/>
    </row>
    <row r="88">
      <c r="B88" s="3"/>
      <c r="C88" s="3"/>
    </row>
    <row r="89"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/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</row>
    <row r="100">
      <c r="B100" s="3"/>
    </row>
    <row r="101">
      <c r="B101" s="3"/>
      <c r="C101" s="3"/>
    </row>
    <row r="102">
      <c r="B102" s="3"/>
      <c r="C102" s="3"/>
    </row>
    <row r="103">
      <c r="C103" s="3"/>
    </row>
    <row r="105">
      <c r="B105" s="108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C112" s="3"/>
    </row>
  </sheetData>
  <mergeCells count="1">
    <mergeCell ref="AP1:AU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9" activeCellId="0" sqref="F19"/>
    </sheetView>
  </sheetViews>
  <sheetFormatPr defaultRowHeight="14.25"/>
  <cols>
    <col bestFit="1" customWidth="1" min="1" max="1" width="7.7265625"/>
    <col bestFit="1" customWidth="1" min="3" max="3" width="14.1796875"/>
    <col bestFit="1" customWidth="1" min="4" max="4" width="12.453125"/>
    <col bestFit="1" customWidth="1" min="5" max="5" width="17"/>
    <col bestFit="1" customWidth="1" min="6" max="6" width="21.81640625"/>
    <col bestFit="1" customWidth="1" min="9" max="9" width="19"/>
  </cols>
  <sheetData>
    <row r="1">
      <c r="I1" t="s">
        <v>106</v>
      </c>
      <c r="J1">
        <v>2</v>
      </c>
    </row>
    <row r="2" ht="28.5">
      <c r="C2" s="109" t="s">
        <v>107</v>
      </c>
      <c r="D2" s="109" t="s">
        <v>108</v>
      </c>
      <c r="E2" t="s">
        <v>109</v>
      </c>
      <c r="F2" t="s">
        <v>107</v>
      </c>
      <c r="I2" t="s">
        <v>110</v>
      </c>
    </row>
    <row r="3">
      <c r="A3" t="s">
        <v>111</v>
      </c>
      <c r="B3">
        <v>400</v>
      </c>
      <c r="C3">
        <f t="shared" ref="C3:C7" si="22">B3*10</f>
        <v>4000</v>
      </c>
      <c r="D3">
        <f t="shared" ref="D3:D7" si="23">C3*26</f>
        <v>104000</v>
      </c>
      <c r="E3" s="110">
        <f t="shared" ref="E3:E7" si="24">D3*115.2/87+1918.8</f>
        <v>139629.14482758619</v>
      </c>
      <c r="F3" s="110">
        <f t="shared" ref="F3:F7" si="25">E3/26</f>
        <v>5370.3517241379304</v>
      </c>
    </row>
    <row r="4">
      <c r="A4" t="s">
        <v>112</v>
      </c>
      <c r="B4">
        <v>350</v>
      </c>
      <c r="C4">
        <f t="shared" si="22"/>
        <v>3500</v>
      </c>
      <c r="D4">
        <f t="shared" si="23"/>
        <v>91000</v>
      </c>
      <c r="E4" s="110">
        <f t="shared" si="24"/>
        <v>122415.35172413793</v>
      </c>
      <c r="F4" s="110">
        <f t="shared" si="25"/>
        <v>4708.2827586206895</v>
      </c>
    </row>
    <row r="5">
      <c r="A5" t="s">
        <v>112</v>
      </c>
      <c r="B5">
        <v>350</v>
      </c>
      <c r="C5">
        <f t="shared" si="22"/>
        <v>3500</v>
      </c>
      <c r="D5">
        <f t="shared" si="23"/>
        <v>91000</v>
      </c>
      <c r="E5" s="110">
        <f t="shared" si="24"/>
        <v>122415.35172413793</v>
      </c>
      <c r="F5" s="110">
        <f t="shared" si="25"/>
        <v>4708.2827586206895</v>
      </c>
    </row>
    <row r="6">
      <c r="A6" t="s">
        <v>112</v>
      </c>
      <c r="B6">
        <v>300</v>
      </c>
      <c r="C6">
        <f t="shared" si="22"/>
        <v>3000</v>
      </c>
      <c r="D6">
        <f t="shared" si="23"/>
        <v>78000</v>
      </c>
      <c r="E6" s="110">
        <f t="shared" si="24"/>
        <v>105201.55862068966</v>
      </c>
      <c r="F6" s="110">
        <f t="shared" si="25"/>
        <v>4046.2137931034481</v>
      </c>
    </row>
    <row r="7">
      <c r="A7" t="s">
        <v>112</v>
      </c>
      <c r="B7">
        <v>300</v>
      </c>
      <c r="C7">
        <f t="shared" si="22"/>
        <v>3000</v>
      </c>
      <c r="D7">
        <f t="shared" si="23"/>
        <v>78000</v>
      </c>
      <c r="E7" s="110">
        <f t="shared" si="24"/>
        <v>105201.55862068966</v>
      </c>
      <c r="F7" s="110">
        <f t="shared" si="25"/>
        <v>4046.2137931034481</v>
      </c>
    </row>
    <row r="8" ht="30.75" customHeight="1">
      <c r="E8" s="109" t="s">
        <v>113</v>
      </c>
      <c r="F8" s="110">
        <f>F7/J1</f>
        <v>2023.106896551724</v>
      </c>
    </row>
    <row r="9">
      <c r="A9" t="s">
        <v>114</v>
      </c>
      <c r="F9" s="110">
        <f>SUM(F3:F8)</f>
        <v>24902.451724137929</v>
      </c>
      <c r="I9">
        <v>457000</v>
      </c>
      <c r="J9">
        <f>I9*0.94</f>
        <v>429580</v>
      </c>
    </row>
    <row r="10">
      <c r="E10" t="s">
        <v>115</v>
      </c>
      <c r="F10" s="110">
        <f>F9+(15000+16000+15000+20000+9000+7000)/(26*J1)</f>
        <v>26479.374801061007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1" width="20.26953125"/>
    <col customWidth="1" min="2" max="2" width="20.1796875"/>
    <col customWidth="1" min="3" max="3" width="33.7265625"/>
    <col bestFit="1" customWidth="1" min="4" max="4" width="11.453125"/>
    <col bestFit="1" customWidth="1" min="5" max="6" width="10.7265625"/>
    <col bestFit="1" customWidth="1" min="7" max="11" width="10.54296875"/>
    <col bestFit="1" customWidth="1" min="12" max="14" width="11.453125"/>
    <col bestFit="1" customWidth="1" min="15" max="16" width="10.7265625"/>
    <col bestFit="1" customWidth="1" min="17" max="17" width="11.26953125"/>
    <col bestFit="1" customWidth="1" min="18" max="18" width="10.81640625"/>
    <col bestFit="1" customWidth="1" min="19" max="20" width="11.7265625"/>
    <col customWidth="1" min="21" max="21" width="13.54296875"/>
    <col bestFit="1" customWidth="1" min="22" max="26" width="11.7265625"/>
    <col customWidth="1" min="27" max="27" width="13.7265625"/>
    <col customWidth="1" min="28" max="28" width="13.54296875"/>
    <col bestFit="1" customWidth="1" min="29" max="29" width="13"/>
    <col bestFit="1" customWidth="1" min="30" max="30" width="9.81640625"/>
    <col bestFit="1" customWidth="1" min="31" max="32" width="10.1796875"/>
    <col bestFit="1" customWidth="1" min="33" max="33" width="10.54296875"/>
    <col bestFit="1" customWidth="1" min="34" max="34" width="10.7265625"/>
    <col bestFit="1" customWidth="1" min="35" max="35" width="17"/>
  </cols>
  <sheetData>
    <row r="1">
      <c r="A1" s="111"/>
      <c r="B1" s="111"/>
    </row>
    <row r="2">
      <c r="A2" t="s">
        <v>2</v>
      </c>
      <c r="B2" t="s">
        <v>3</v>
      </c>
      <c r="AA2" s="101"/>
      <c r="AB2" s="101"/>
    </row>
    <row r="3">
      <c r="A3" s="3"/>
      <c r="B3" s="3"/>
      <c r="AA3" s="101"/>
      <c r="AB3" s="101"/>
    </row>
    <row r="4">
      <c r="A4" s="13" t="s">
        <v>36</v>
      </c>
      <c r="B4" s="1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3" t="s">
        <v>116</v>
      </c>
      <c r="B5" t="s">
        <v>117</v>
      </c>
      <c r="C5" t="s">
        <v>118</v>
      </c>
      <c r="AA5" s="42"/>
      <c r="AB5" s="42"/>
      <c r="AC5" s="3"/>
      <c r="AD5" s="3"/>
      <c r="AE5" s="3"/>
      <c r="AF5" s="3"/>
      <c r="AG5" s="3"/>
      <c r="AH5" s="3"/>
      <c r="AI5" s="102"/>
      <c r="AJ5" s="3"/>
      <c r="AK5" s="3"/>
      <c r="AL5" s="3"/>
      <c r="AM5" s="3"/>
      <c r="AN5" s="3"/>
    </row>
    <row r="6">
      <c r="A6" t="s">
        <v>119</v>
      </c>
      <c r="B6" s="3" t="s">
        <v>54</v>
      </c>
      <c r="C6" t="s">
        <v>118</v>
      </c>
      <c r="AA6" s="42"/>
      <c r="AB6" s="42"/>
      <c r="AC6" s="3"/>
      <c r="AD6" s="3"/>
      <c r="AE6" s="3"/>
      <c r="AF6" s="3"/>
      <c r="AG6" s="3"/>
      <c r="AH6" s="3"/>
      <c r="AI6" s="102"/>
      <c r="AJ6" s="3"/>
      <c r="AK6" s="3"/>
      <c r="AL6" s="3"/>
      <c r="AM6" s="3"/>
      <c r="AN6" s="3"/>
    </row>
    <row r="7">
      <c r="A7" s="3" t="s">
        <v>37</v>
      </c>
      <c r="B7" t="s">
        <v>117</v>
      </c>
      <c r="C7" t="s">
        <v>118</v>
      </c>
      <c r="AA7" s="42"/>
      <c r="AB7" s="42"/>
      <c r="AC7" s="3"/>
      <c r="AD7" s="3"/>
      <c r="AE7" s="3"/>
      <c r="AF7" s="3"/>
      <c r="AG7" s="3"/>
      <c r="AH7" s="3"/>
      <c r="AI7" s="102"/>
      <c r="AJ7" s="3"/>
      <c r="AK7" s="3"/>
      <c r="AL7" s="3"/>
      <c r="AM7" s="3"/>
      <c r="AN7" s="3"/>
    </row>
    <row r="8">
      <c r="A8" t="s">
        <v>120</v>
      </c>
      <c r="B8" t="s">
        <v>117</v>
      </c>
      <c r="C8" t="s">
        <v>121</v>
      </c>
      <c r="AA8" s="42"/>
      <c r="AB8" s="42"/>
      <c r="AC8" s="3"/>
      <c r="AD8" s="3"/>
      <c r="AE8" s="3"/>
      <c r="AF8" s="3"/>
      <c r="AG8" s="3"/>
      <c r="AH8" s="3"/>
      <c r="AI8" s="102"/>
      <c r="AJ8" s="3"/>
      <c r="AK8" s="3"/>
      <c r="AL8" s="3"/>
      <c r="AM8" s="3"/>
      <c r="AN8" s="3"/>
    </row>
    <row r="9" s="3" customFormat="1">
      <c r="A9" s="3" t="s">
        <v>101</v>
      </c>
      <c r="B9" t="s">
        <v>117</v>
      </c>
      <c r="C9" t="s">
        <v>121</v>
      </c>
      <c r="AA9" s="42"/>
      <c r="AB9" s="42"/>
      <c r="AI9" s="102"/>
    </row>
    <row r="10" s="3" customFormat="1">
      <c r="A10" s="3" t="s">
        <v>122</v>
      </c>
      <c r="B10" s="3" t="s">
        <v>117</v>
      </c>
      <c r="C10" t="s">
        <v>118</v>
      </c>
      <c r="AA10" s="42"/>
      <c r="AB10" s="42"/>
      <c r="AC10" s="3"/>
      <c r="AD10" s="3"/>
      <c r="AE10" s="3"/>
      <c r="AF10" s="3"/>
      <c r="AG10" s="3"/>
      <c r="AH10" s="3"/>
      <c r="AI10" s="102"/>
    </row>
    <row r="11" s="3" customFormat="1">
      <c r="A11" s="3" t="s">
        <v>123</v>
      </c>
      <c r="B11" s="3" t="s">
        <v>117</v>
      </c>
      <c r="C11" t="s">
        <v>118</v>
      </c>
      <c r="AA11" s="2"/>
      <c r="AB11" s="2"/>
    </row>
    <row r="12">
      <c r="A12" t="s">
        <v>124</v>
      </c>
      <c r="B12" t="s">
        <v>117</v>
      </c>
      <c r="C12" t="s">
        <v>121</v>
      </c>
      <c r="AA12" s="42"/>
      <c r="AB12" s="42"/>
      <c r="AC12" s="3"/>
      <c r="AD12" s="3"/>
      <c r="AE12" s="3"/>
      <c r="AF12" s="3"/>
      <c r="AG12" s="3"/>
      <c r="AH12" s="3"/>
      <c r="AI12" s="102"/>
      <c r="AJ12" s="3"/>
      <c r="AK12" s="3"/>
      <c r="AL12" s="3"/>
      <c r="AM12" s="3"/>
      <c r="AN12" s="3"/>
    </row>
    <row r="13">
      <c r="A13" s="54" t="s">
        <v>50</v>
      </c>
      <c r="B13" s="54"/>
      <c r="AA13" s="42"/>
      <c r="AC13" s="3"/>
      <c r="AD13" s="3"/>
      <c r="AE13" s="3"/>
      <c r="AF13" s="3"/>
      <c r="AG13" s="3"/>
      <c r="AH13" s="3"/>
      <c r="AI13" s="102"/>
      <c r="AJ13" s="3"/>
      <c r="AK13" s="3"/>
      <c r="AL13" s="3"/>
      <c r="AM13" s="3"/>
      <c r="AN13" s="3"/>
    </row>
    <row r="14">
      <c r="A14" s="3" t="s">
        <v>51</v>
      </c>
      <c r="B14" s="3" t="s">
        <v>117</v>
      </c>
      <c r="C14" t="s">
        <v>125</v>
      </c>
      <c r="AA14" s="42"/>
      <c r="AC14" s="3"/>
      <c r="AD14" s="3"/>
      <c r="AE14" s="3"/>
      <c r="AF14" s="3"/>
      <c r="AG14" s="3"/>
      <c r="AH14" s="3"/>
      <c r="AI14" s="102"/>
      <c r="AJ14" s="3"/>
      <c r="AK14" s="3"/>
      <c r="AL14" s="3"/>
      <c r="AM14" s="3"/>
      <c r="AN14" s="3"/>
    </row>
    <row r="15">
      <c r="A15" t="s">
        <v>126</v>
      </c>
      <c r="B15" s="90" t="s">
        <v>117</v>
      </c>
      <c r="AA15" s="42"/>
      <c r="AB15" s="42"/>
      <c r="AC15" s="3"/>
      <c r="AD15" s="3"/>
      <c r="AE15" s="3"/>
      <c r="AF15" s="3"/>
      <c r="AG15" s="3"/>
      <c r="AH15" s="3"/>
      <c r="AI15" s="102"/>
      <c r="AJ15" s="3"/>
      <c r="AK15" s="3"/>
      <c r="AL15" s="3"/>
      <c r="AM15" s="3"/>
      <c r="AN15" s="3"/>
    </row>
    <row r="16">
      <c r="A16" s="3" t="s">
        <v>127</v>
      </c>
      <c r="B16" s="3" t="s">
        <v>54</v>
      </c>
      <c r="AA16" s="42"/>
      <c r="AB16" s="42"/>
      <c r="AI16" s="102"/>
    </row>
    <row r="17">
      <c r="A17" t="s">
        <v>56</v>
      </c>
      <c r="B17" s="3" t="s">
        <v>117</v>
      </c>
      <c r="C17" t="s">
        <v>128</v>
      </c>
      <c r="AA17" s="42"/>
      <c r="AB17" s="42"/>
      <c r="AI17" s="102"/>
    </row>
    <row r="18">
      <c r="A18" s="3"/>
      <c r="AA18" s="42"/>
      <c r="AB18" s="42"/>
      <c r="AI18" s="102"/>
    </row>
    <row r="19">
      <c r="A19" s="12" t="s">
        <v>58</v>
      </c>
      <c r="B19" s="12"/>
      <c r="AA19" s="42"/>
      <c r="AB19" s="42"/>
      <c r="AC19" s="3"/>
      <c r="AD19" s="3"/>
      <c r="AE19" s="3"/>
      <c r="AF19" s="3"/>
      <c r="AG19" s="3"/>
      <c r="AH19" s="3"/>
      <c r="AI19" s="102"/>
      <c r="AJ19" s="3"/>
      <c r="AK19" s="3"/>
      <c r="AL19" s="3"/>
      <c r="AM19" s="3"/>
      <c r="AN19" s="3"/>
    </row>
    <row r="20">
      <c r="A20" s="3" t="s">
        <v>59</v>
      </c>
      <c r="B20" s="3" t="s">
        <v>117</v>
      </c>
      <c r="C20" t="s">
        <v>129</v>
      </c>
      <c r="AA20" s="42"/>
      <c r="AB20" s="42"/>
    </row>
    <row r="21">
      <c r="A21" s="3" t="s">
        <v>130</v>
      </c>
      <c r="B21" t="s">
        <v>54</v>
      </c>
      <c r="C21" t="s">
        <v>131</v>
      </c>
      <c r="AA21" s="42"/>
      <c r="AB21" s="42"/>
    </row>
    <row r="22">
      <c r="A22" s="3" t="s">
        <v>132</v>
      </c>
      <c r="B22" t="s">
        <v>117</v>
      </c>
      <c r="AA22" s="3"/>
      <c r="AB22" s="3"/>
    </row>
    <row r="23">
      <c r="A23" t="s">
        <v>61</v>
      </c>
      <c r="B23" t="s">
        <v>117</v>
      </c>
      <c r="C23" t="s">
        <v>133</v>
      </c>
      <c r="AA23" s="3"/>
      <c r="AB23" s="3"/>
    </row>
    <row r="24">
      <c r="B24" s="3"/>
      <c r="AA24" s="42"/>
      <c r="AB24" s="42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3"/>
      <c r="B25" s="3"/>
      <c r="AA25" s="42"/>
      <c r="AB25" s="42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26" t="s">
        <v>66</v>
      </c>
      <c r="B26" s="26"/>
      <c r="AA26" s="42"/>
      <c r="AB26" s="42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t="s">
        <v>67</v>
      </c>
      <c r="B27" t="s">
        <v>54</v>
      </c>
      <c r="C27" t="s">
        <v>134</v>
      </c>
      <c r="AA27" s="42"/>
      <c r="AB27" s="42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3" t="s">
        <v>69</v>
      </c>
      <c r="B28" s="3" t="s">
        <v>54</v>
      </c>
      <c r="C28" t="s">
        <v>135</v>
      </c>
      <c r="AA28" s="42"/>
      <c r="AB28" s="42"/>
      <c r="AC28" s="3"/>
      <c r="AD28" s="3"/>
      <c r="AE28" s="3"/>
      <c r="AF28" s="3"/>
      <c r="AG28" s="3"/>
      <c r="AH28" s="3"/>
      <c r="AI28" s="102"/>
      <c r="AJ28" s="3"/>
      <c r="AK28" s="3"/>
      <c r="AL28" s="3"/>
      <c r="AM28" s="3"/>
      <c r="AN28" s="3"/>
    </row>
    <row r="29">
      <c r="A29" s="3" t="s">
        <v>136</v>
      </c>
      <c r="B29" t="s">
        <v>117</v>
      </c>
      <c r="C29" t="s">
        <v>137</v>
      </c>
      <c r="AA29" s="3"/>
      <c r="AB29" s="3"/>
    </row>
    <row r="30">
      <c r="B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AA31" s="42"/>
      <c r="AB31" s="42"/>
      <c r="AI31" s="102"/>
    </row>
    <row r="32">
      <c r="B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A33" s="26" t="s">
        <v>73</v>
      </c>
      <c r="B33" s="26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B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A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</row>
    <row r="41">
      <c r="A41" s="3" t="s">
        <v>138</v>
      </c>
      <c r="B41" t="s">
        <v>54</v>
      </c>
    </row>
    <row r="42">
      <c r="A42" t="s">
        <v>139</v>
      </c>
      <c r="B42" s="3" t="s">
        <v>117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A43" s="3" t="s">
        <v>140</v>
      </c>
      <c r="B43" t="s">
        <v>54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A44" t="s">
        <v>141</v>
      </c>
      <c r="B44" s="3" t="s">
        <v>54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92" t="s">
        <v>96</v>
      </c>
      <c r="B47" s="92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t="s">
        <v>142</v>
      </c>
      <c r="B48" t="s">
        <v>98</v>
      </c>
      <c r="C48" t="s">
        <v>143</v>
      </c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t="s">
        <v>144</v>
      </c>
      <c r="B49" s="3" t="s">
        <v>98</v>
      </c>
      <c r="AA49" s="101"/>
      <c r="AB49" s="101"/>
      <c r="AC49" s="101"/>
      <c r="AD49" s="3"/>
      <c r="AE49" s="3"/>
      <c r="AF49" s="3"/>
      <c r="AG49" s="3"/>
      <c r="AH49" s="3"/>
      <c r="AI49" s="3"/>
    </row>
    <row r="50">
      <c r="AA50" s="42"/>
      <c r="AB50" s="42"/>
      <c r="AC50" s="3"/>
      <c r="AD50" s="3"/>
      <c r="AE50" s="3"/>
      <c r="AF50" s="3"/>
      <c r="AG50" s="3"/>
      <c r="AH50" s="3"/>
      <c r="AI50" s="3"/>
    </row>
    <row r="51">
      <c r="AA51" s="42"/>
      <c r="AB51" s="42"/>
      <c r="AC51" s="42"/>
      <c r="AD51" s="3"/>
      <c r="AE51" s="3"/>
      <c r="AF51" s="3"/>
      <c r="AG51" s="3"/>
      <c r="AH51" s="3"/>
      <c r="AI51" s="102"/>
    </row>
    <row r="52">
      <c r="AA52" s="42"/>
      <c r="AB52" s="42"/>
      <c r="AC52" s="42"/>
      <c r="AD52" s="3"/>
      <c r="AE52" s="3"/>
      <c r="AF52" s="3"/>
      <c r="AG52" s="3"/>
      <c r="AH52" s="3"/>
      <c r="AI52" s="102"/>
    </row>
    <row r="53">
      <c r="X53" s="102"/>
      <c r="Y53" s="42"/>
      <c r="Z53" s="42"/>
      <c r="AA53" s="42"/>
      <c r="AB53" s="42"/>
      <c r="AC53" s="42"/>
      <c r="AD53" s="3"/>
      <c r="AE53" s="3"/>
      <c r="AF53" s="3"/>
      <c r="AG53" s="3"/>
      <c r="AH53" s="3"/>
      <c r="AI53" s="102"/>
    </row>
    <row r="54">
      <c r="X54" s="102"/>
      <c r="Y54" s="42"/>
      <c r="Z54" s="42"/>
      <c r="AA54" s="42"/>
      <c r="AB54" s="42"/>
      <c r="AC54" s="42"/>
      <c r="AD54" s="3"/>
      <c r="AE54" s="3"/>
      <c r="AF54" s="3"/>
      <c r="AG54" s="3"/>
      <c r="AH54" s="3"/>
      <c r="AI54" s="102"/>
    </row>
    <row r="55">
      <c r="X55" s="102"/>
      <c r="Y55" s="42"/>
      <c r="Z55" s="42"/>
      <c r="AA55" s="42"/>
      <c r="AB55" s="42"/>
      <c r="AC55" s="42"/>
      <c r="AD55" s="3"/>
      <c r="AE55" s="3"/>
      <c r="AF55" s="3"/>
      <c r="AG55" s="3"/>
      <c r="AH55" s="3"/>
      <c r="AI55" s="102"/>
    </row>
    <row r="56">
      <c r="X56" s="102"/>
      <c r="Y56" s="42"/>
      <c r="Z56" s="42"/>
      <c r="AA56" s="42"/>
      <c r="AB56" s="42"/>
      <c r="AC56" s="42"/>
      <c r="AD56" s="3"/>
      <c r="AE56" s="3"/>
      <c r="AF56" s="3"/>
      <c r="AG56" s="3"/>
      <c r="AH56" s="3"/>
      <c r="AI56" s="102"/>
    </row>
    <row r="57">
      <c r="Y57" s="42"/>
      <c r="Z57" s="42"/>
      <c r="AA57" s="42"/>
      <c r="AB57" s="42"/>
      <c r="AC57" s="42"/>
      <c r="AD57" s="3"/>
      <c r="AE57" s="3"/>
      <c r="AF57" s="3"/>
      <c r="AG57" s="3"/>
      <c r="AH57" s="3"/>
      <c r="AI57" s="102"/>
    </row>
    <row r="58">
      <c r="Y58" s="42"/>
      <c r="Z58" s="42"/>
      <c r="AA58" s="42"/>
      <c r="AB58" s="42"/>
      <c r="AC58" s="42"/>
      <c r="AD58" s="3"/>
      <c r="AE58" s="3"/>
      <c r="AF58" s="3"/>
      <c r="AG58" s="3"/>
      <c r="AH58" s="3"/>
      <c r="AI58" s="102"/>
    </row>
    <row r="59">
      <c r="Y59" s="42"/>
      <c r="Z59" s="42"/>
      <c r="AA59" s="42"/>
      <c r="AB59" s="42"/>
      <c r="AC59" s="42"/>
      <c r="AD59" s="3"/>
      <c r="AE59" s="3"/>
      <c r="AF59" s="3"/>
      <c r="AG59" s="3"/>
      <c r="AH59" s="3"/>
      <c r="AI59" s="102"/>
    </row>
    <row r="60">
      <c r="Y60" s="42"/>
      <c r="Z60" s="42"/>
      <c r="AA60" s="42"/>
      <c r="AB60" s="42"/>
      <c r="AC60" s="42"/>
      <c r="AD60" s="3"/>
      <c r="AE60" s="3"/>
      <c r="AF60" s="3"/>
      <c r="AG60" s="3"/>
      <c r="AH60" s="3"/>
      <c r="AI60" s="102"/>
    </row>
    <row r="61">
      <c r="Y61" s="42"/>
      <c r="Z61" s="42"/>
      <c r="AA61" s="42"/>
      <c r="AB61" s="42"/>
      <c r="AC61" s="42"/>
      <c r="AD61" s="3"/>
      <c r="AE61" s="3"/>
      <c r="AF61" s="3"/>
      <c r="AG61" s="3"/>
      <c r="AH61" s="3"/>
      <c r="AI61" s="102"/>
    </row>
    <row r="62">
      <c r="Y62" s="42"/>
      <c r="Z62" s="42"/>
      <c r="AA62" s="42"/>
      <c r="AB62" s="42"/>
      <c r="AC62" s="42"/>
      <c r="AD62" s="3"/>
      <c r="AE62" s="3"/>
      <c r="AF62" s="3"/>
      <c r="AG62" s="3"/>
      <c r="AH62" s="3"/>
      <c r="AI62" s="102"/>
    </row>
    <row r="63"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R63" s="2"/>
      <c r="S63" s="3"/>
      <c r="T63" s="3"/>
      <c r="U63" s="3"/>
      <c r="V63" s="3"/>
      <c r="W63" s="3"/>
      <c r="Y63" s="42"/>
      <c r="Z63" s="42"/>
      <c r="AA63" s="42"/>
      <c r="AB63" s="42"/>
      <c r="AC63" s="42"/>
      <c r="AD63" s="3"/>
      <c r="AE63" s="3"/>
      <c r="AF63" s="3"/>
      <c r="AG63" s="3"/>
      <c r="AH63" s="3"/>
      <c r="AI63" s="3"/>
    </row>
    <row r="64">
      <c r="C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babenko</dc:creator>
  <cp:lastModifiedBy>Никита Б</cp:lastModifiedBy>
  <cp:revision>527</cp:revision>
  <dcterms:created xsi:type="dcterms:W3CDTF">2021-08-09T11:51:37Z</dcterms:created>
  <dcterms:modified xsi:type="dcterms:W3CDTF">2025-11-10T16:40:39Z</dcterms:modified>
</cp:coreProperties>
</file>